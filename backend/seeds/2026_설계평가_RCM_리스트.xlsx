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D:\10 업무\70 내부회계관리제도\"/>
    </mc:Choice>
  </mc:AlternateContent>
  <bookViews>
    <workbookView xWindow="0" yWindow="0" windowWidth="14400" windowHeight="2910"/>
  </bookViews>
  <sheets>
    <sheet name="Sheet1" sheetId="1" r:id="rId1"/>
    <sheet name="Sheet2" sheetId="2" r:id="rId2"/>
  </sheets>
  <definedNames>
    <definedName name="_xlnm._FilterDatabase" localSheetId="0" hidden="1">Sheet1!$A$5:$BY$100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 i="2" l="1"/>
  <c r="F33" i="2" s="1"/>
  <c r="E32" i="2"/>
  <c r="F32" i="2" s="1"/>
  <c r="E30" i="2"/>
  <c r="F30" i="2" s="1"/>
  <c r="E29" i="2"/>
  <c r="F29" i="2" s="1"/>
  <c r="E28" i="2"/>
  <c r="F28" i="2" s="1"/>
  <c r="E27" i="2"/>
  <c r="F27" i="2" s="1"/>
  <c r="E26" i="2"/>
  <c r="F26" i="2" s="1"/>
  <c r="E25" i="2"/>
  <c r="F25" i="2" s="1"/>
  <c r="F31" i="2" l="1"/>
  <c r="F34" i="2" s="1"/>
  <c r="E31" i="2"/>
  <c r="E34" i="2" s="1"/>
  <c r="O17" i="2"/>
  <c r="P17" i="2" s="1"/>
  <c r="M17" i="2"/>
  <c r="N17" i="2" s="1"/>
  <c r="O16" i="2"/>
  <c r="P16" i="2" s="1"/>
  <c r="M16" i="2"/>
  <c r="N16" i="2" s="1"/>
  <c r="O14" i="2"/>
  <c r="P14" i="2" s="1"/>
  <c r="M14" i="2"/>
  <c r="N14" i="2" s="1"/>
  <c r="O13" i="2"/>
  <c r="P13" i="2" s="1"/>
  <c r="M13" i="2"/>
  <c r="N13" i="2" s="1"/>
  <c r="O12" i="2"/>
  <c r="P12" i="2" s="1"/>
  <c r="M12" i="2"/>
  <c r="N12" i="2" s="1"/>
  <c r="O11" i="2"/>
  <c r="P11" i="2" s="1"/>
  <c r="M11" i="2"/>
  <c r="N11" i="2" s="1"/>
  <c r="O10" i="2"/>
  <c r="P10" i="2" s="1"/>
  <c r="M10" i="2"/>
  <c r="N10" i="2" s="1"/>
  <c r="O9" i="2"/>
  <c r="M9" i="2"/>
  <c r="N9" i="2" s="1"/>
  <c r="N15" i="2" l="1"/>
  <c r="N18" i="2" s="1"/>
  <c r="O15" i="2"/>
  <c r="O18" i="2" s="1"/>
  <c r="P9" i="2"/>
  <c r="P15" i="2" s="1"/>
  <c r="P18" i="2" s="1"/>
  <c r="M15" i="2"/>
  <c r="M18" i="2" s="1"/>
  <c r="G17" i="2"/>
  <c r="H17" i="2" s="1"/>
  <c r="G16" i="2"/>
  <c r="H16" i="2" s="1"/>
  <c r="G10" i="2"/>
  <c r="H10" i="2" s="1"/>
  <c r="G11" i="2"/>
  <c r="H11" i="2" s="1"/>
  <c r="G12" i="2"/>
  <c r="H12" i="2" s="1"/>
  <c r="G13" i="2"/>
  <c r="H13" i="2" s="1"/>
  <c r="G14" i="2"/>
  <c r="H14" i="2" s="1"/>
  <c r="G9" i="2"/>
  <c r="H9" i="2" s="1"/>
  <c r="E17" i="2"/>
  <c r="F17" i="2" s="1"/>
  <c r="E16" i="2"/>
  <c r="E10" i="2"/>
  <c r="F10" i="2" s="1"/>
  <c r="E11" i="2"/>
  <c r="F11" i="2" s="1"/>
  <c r="E12" i="2"/>
  <c r="F12" i="2" s="1"/>
  <c r="E13" i="2"/>
  <c r="F13" i="2" s="1"/>
  <c r="E14" i="2"/>
  <c r="F14" i="2" s="1"/>
  <c r="E9" i="2"/>
  <c r="F9" i="2" s="1"/>
  <c r="F15" i="2" l="1"/>
  <c r="E15" i="2"/>
  <c r="E18" i="2" s="1"/>
  <c r="F16" i="2"/>
  <c r="H15" i="2"/>
  <c r="H18" i="2" s="1"/>
  <c r="G15" i="2"/>
  <c r="G18" i="2" s="1"/>
  <c r="F18" i="2" l="1"/>
</calcChain>
</file>

<file path=xl/sharedStrings.xml><?xml version="1.0" encoding="utf-8"?>
<sst xmlns="http://schemas.openxmlformats.org/spreadsheetml/2006/main" count="5825" uniqueCount="1538">
  <si>
    <t>Company Name:</t>
    <phoneticPr fontId="2" type="noConversion"/>
  </si>
  <si>
    <t>㈜사이냅소프트</t>
    <phoneticPr fontId="2" type="noConversion"/>
  </si>
  <si>
    <t>Update:</t>
    <phoneticPr fontId="3" type="noConversion"/>
  </si>
  <si>
    <t>계정과목 등의 금액을 결정하는데 필요한 판단의 정도</t>
    <phoneticPr fontId="4" type="noConversion"/>
  </si>
  <si>
    <t>부정 발생의 가능성</t>
    <phoneticPr fontId="4" type="noConversion"/>
  </si>
  <si>
    <t>회계 처리의 복잡성</t>
  </si>
  <si>
    <t>계정과목 등을 구성하는 거래의 성격 또는 규모의 변화 정도</t>
    <phoneticPr fontId="4" type="noConversion"/>
  </si>
  <si>
    <t>기술적, 경제적 발전과 같은 환경적 변화에 대한 민감도</t>
  </si>
  <si>
    <t>승인</t>
    <phoneticPr fontId="3" type="noConversion"/>
  </si>
  <si>
    <t>검증</t>
    <phoneticPr fontId="3" type="noConversion"/>
  </si>
  <si>
    <t>물리적통제</t>
    <phoneticPr fontId="3" type="noConversion"/>
  </si>
  <si>
    <t>기준정보관리통제</t>
    <phoneticPr fontId="3" type="noConversion"/>
  </si>
  <si>
    <t>대사</t>
    <phoneticPr fontId="3" type="noConversion"/>
  </si>
  <si>
    <t>감독통제</t>
    <phoneticPr fontId="3" type="noConversion"/>
  </si>
  <si>
    <t>예방(P) VS 적발(D)</t>
    <phoneticPr fontId="3" type="noConversion"/>
  </si>
  <si>
    <t>Automated VS Manual</t>
    <phoneticPr fontId="3" type="noConversion"/>
  </si>
  <si>
    <t>실재성</t>
    <phoneticPr fontId="3" type="noConversion"/>
  </si>
  <si>
    <t>완전성</t>
    <phoneticPr fontId="3" type="noConversion"/>
  </si>
  <si>
    <t>권리와의무</t>
    <phoneticPr fontId="3" type="noConversion"/>
  </si>
  <si>
    <t>평가</t>
    <phoneticPr fontId="3" type="noConversion"/>
  </si>
  <si>
    <t>재무제표표시와 공시</t>
    <phoneticPr fontId="3" type="noConversion"/>
  </si>
  <si>
    <t>발생사실</t>
    <phoneticPr fontId="3" type="noConversion"/>
  </si>
  <si>
    <t>측정</t>
    <phoneticPr fontId="3" type="noConversion"/>
  </si>
  <si>
    <t>O : 수시, D : 일, W : 주, M : 월, Q : 분기, A : 년</t>
    <phoneticPr fontId="3" type="noConversion"/>
  </si>
  <si>
    <t>통제의 복잡성</t>
    <phoneticPr fontId="3" type="noConversion"/>
  </si>
  <si>
    <t>경영진의 통제무시위험</t>
    <phoneticPr fontId="3" type="noConversion"/>
  </si>
  <si>
    <t>통제를 수행하기 위하여 필요한 판단의 정도</t>
    <phoneticPr fontId="3" type="noConversion"/>
  </si>
  <si>
    <t>통제를 수행하거나 통제 운영을 모니터링하는 인원의 역량</t>
    <phoneticPr fontId="3" type="noConversion"/>
  </si>
  <si>
    <t>통제를 수행하거나 통제운영의 적정성을 모니터링하는 주요 인원의 변동 여부</t>
    <phoneticPr fontId="3" type="noConversion"/>
  </si>
  <si>
    <t>통제가 예방 또는 적발하고자 하는 왜곡표시의 성격과 중요성</t>
    <phoneticPr fontId="3" type="noConversion"/>
  </si>
  <si>
    <t>통제가 다른 통제활동의 효과성에 의존하는 정도</t>
    <phoneticPr fontId="3" type="noConversion"/>
  </si>
  <si>
    <t>과거연도 통제 운영의 효과성 평가결과</t>
    <phoneticPr fontId="3" type="noConversion"/>
  </si>
  <si>
    <t>질문(Inquiry)</t>
    <phoneticPr fontId="3" type="noConversion"/>
  </si>
  <si>
    <t>관찰(Observation)</t>
    <phoneticPr fontId="3" type="noConversion"/>
  </si>
  <si>
    <t>문서검사(Examination)</t>
    <phoneticPr fontId="3" type="noConversion"/>
  </si>
  <si>
    <t>재수행(Reperformance)</t>
    <phoneticPr fontId="3" type="noConversion"/>
  </si>
  <si>
    <t>평가주기(O/D/W/M/Q/A)</t>
    <phoneticPr fontId="3" type="noConversion"/>
  </si>
  <si>
    <t>상시모니터링</t>
  </si>
  <si>
    <t>독립적인 평가</t>
  </si>
  <si>
    <t>통제운영자</t>
  </si>
  <si>
    <t>동일부서의 다른인원</t>
  </si>
  <si>
    <t>다른 부서</t>
  </si>
  <si>
    <t>내부 통제 부서(전담조직)</t>
  </si>
  <si>
    <t>외부인원</t>
  </si>
  <si>
    <t>프로세스번호</t>
    <phoneticPr fontId="2" type="noConversion"/>
  </si>
  <si>
    <t>프로세스이름</t>
    <phoneticPr fontId="2" type="noConversion"/>
  </si>
  <si>
    <t>하위프로세스번호</t>
  </si>
  <si>
    <t>하위프로세스이름</t>
  </si>
  <si>
    <t>위험번호</t>
    <phoneticPr fontId="3" type="noConversion"/>
  </si>
  <si>
    <t>통제활동번호</t>
  </si>
  <si>
    <t>담당자</t>
    <phoneticPr fontId="2" type="noConversion"/>
  </si>
  <si>
    <t>위험내용</t>
    <phoneticPr fontId="3" type="noConversion"/>
  </si>
  <si>
    <t>Risk Assessment(모범규준)</t>
    <phoneticPr fontId="4" type="noConversion"/>
  </si>
  <si>
    <t>위험평가</t>
    <phoneticPr fontId="6" type="noConversion"/>
  </si>
  <si>
    <t>통제목적</t>
    <phoneticPr fontId="2" type="noConversion"/>
  </si>
  <si>
    <t>통제활동이름</t>
  </si>
  <si>
    <t>통제활동설명</t>
    <phoneticPr fontId="2" type="noConversion"/>
  </si>
  <si>
    <t>Key Control</t>
    <phoneticPr fontId="6" type="noConversion"/>
  </si>
  <si>
    <t>Control Type</t>
    <phoneticPr fontId="6" type="noConversion"/>
  </si>
  <si>
    <t>통제유형</t>
    <phoneticPr fontId="6" type="noConversion"/>
  </si>
  <si>
    <t>경영자주장</t>
    <phoneticPr fontId="6" type="noConversion"/>
  </si>
  <si>
    <t>관련 계정과목 및 주석사항</t>
    <phoneticPr fontId="6" type="noConversion"/>
  </si>
  <si>
    <t>통제주기</t>
    <phoneticPr fontId="6" type="noConversion"/>
  </si>
  <si>
    <t>IPE(IUC) 식별</t>
    <phoneticPr fontId="3" type="noConversion"/>
  </si>
  <si>
    <t>관련 시스템</t>
    <phoneticPr fontId="3" type="noConversion"/>
  </si>
  <si>
    <t>EUC 식별</t>
    <phoneticPr fontId="6" type="noConversion"/>
  </si>
  <si>
    <t>RAWC
(Risk Associated With Control)</t>
    <phoneticPr fontId="4" type="noConversion"/>
  </si>
  <si>
    <t>RAWC</t>
    <phoneticPr fontId="6" type="noConversion"/>
  </si>
  <si>
    <t>통제현황(WTT의 summary 수준)</t>
    <phoneticPr fontId="3" type="noConversion"/>
  </si>
  <si>
    <t>통제현황(기존프로세스)</t>
    <phoneticPr fontId="3" type="noConversion"/>
  </si>
  <si>
    <t>테스트절차</t>
  </si>
  <si>
    <t>Control Owner</t>
    <phoneticPr fontId="6" type="noConversion"/>
  </si>
  <si>
    <t>설계평가</t>
    <phoneticPr fontId="2" type="noConversion"/>
  </si>
  <si>
    <t>평가방법(모범규준 60)</t>
  </si>
  <si>
    <t>통제수행자(모범규준 60)</t>
  </si>
  <si>
    <t>개선업무</t>
    <phoneticPr fontId="2" type="noConversion"/>
  </si>
  <si>
    <t>테스트방법</t>
    <phoneticPr fontId="6" type="noConversion"/>
  </si>
  <si>
    <t>모집단</t>
    <phoneticPr fontId="6" type="noConversion"/>
  </si>
  <si>
    <t>평가주기</t>
    <phoneticPr fontId="6" type="noConversion"/>
  </si>
  <si>
    <t>표본수</t>
    <phoneticPr fontId="6" type="noConversion"/>
  </si>
  <si>
    <t>테스트절차</t>
    <phoneticPr fontId="6" type="noConversion"/>
  </si>
  <si>
    <t>통제활동이 정책과 연계되었는가</t>
    <phoneticPr fontId="2" type="noConversion"/>
  </si>
  <si>
    <t>관련 통제위험을 명확하게 감소시킬 수 있을 정도로 정교한지</t>
  </si>
  <si>
    <t xml:space="preserve"> 예외사항의 정의와 적시 대응 방안이 포함되는지</t>
  </si>
  <si>
    <t>통제를 수행하는데 사용된 정보의 신뢰성 확보 방안이 적절한지</t>
    <phoneticPr fontId="2" type="noConversion"/>
  </si>
  <si>
    <t>통제가 설계되어 수행된 기간은 충분한지</t>
  </si>
  <si>
    <t>통제 수행자의 적격성이 정의되었는지</t>
  </si>
  <si>
    <t>통제 수행 빈도는 위험을 적시에 예방하거나 적발할 수 있는지</t>
  </si>
  <si>
    <t>유의한 계정과목의 중요한 왜곡표시 원천이 완전하게 고려되었는지</t>
  </si>
  <si>
    <t>개선업무명</t>
    <phoneticPr fontId="3" type="noConversion"/>
  </si>
  <si>
    <t>설명</t>
    <phoneticPr fontId="3" type="noConversion"/>
  </si>
  <si>
    <t>개선계획</t>
    <phoneticPr fontId="3" type="noConversion"/>
  </si>
  <si>
    <t>EL</t>
  </si>
  <si>
    <t>전사</t>
    <phoneticPr fontId="4" type="noConversion"/>
  </si>
  <si>
    <t>EL-010</t>
    <phoneticPr fontId="4" type="noConversion"/>
  </si>
  <si>
    <t>통제환경</t>
  </si>
  <si>
    <t>EL-010-10</t>
  </si>
  <si>
    <t>EL-010-10-10</t>
  </si>
  <si>
    <t>유헌종</t>
  </si>
  <si>
    <t>이사회 및 경영진이 추구하는 윤리경영에 대한 준수사항이 정책화 되어 있지 않아 모든 임직원을 포함하여 외부 이해관계자에 의해 준수되지 못할 위험.</t>
    <phoneticPr fontId="4" type="noConversion"/>
  </si>
  <si>
    <t>Low</t>
  </si>
  <si>
    <t>LR</t>
  </si>
  <si>
    <t>이사회 및 경영진이 추구하는 윤리경영에 대한 준수사항이 정책화 되어 있어 모든 임직원을 포함하여 외부 이해관계자에 의해 준수된다.</t>
    <phoneticPr fontId="4" type="noConversion"/>
  </si>
  <si>
    <t>윤리경영의 정책 수립</t>
    <phoneticPr fontId="4" type="noConversion"/>
  </si>
  <si>
    <t>이사회 및 경영진이 추구하는 윤리경영에 대한 준수사항은 회사의 규정 및 정책에 명문화 되어 있다.</t>
    <phoneticPr fontId="4" type="noConversion"/>
  </si>
  <si>
    <t>Yes</t>
    <phoneticPr fontId="4" type="noConversion"/>
  </si>
  <si>
    <t>O</t>
  </si>
  <si>
    <t>P</t>
    <phoneticPr fontId="4" type="noConversion"/>
  </si>
  <si>
    <t>M</t>
  </si>
  <si>
    <t>N/A</t>
    <phoneticPr fontId="2" type="noConversion"/>
  </si>
  <si>
    <t>A</t>
    <phoneticPr fontId="4" type="noConversion"/>
  </si>
  <si>
    <t>N/A</t>
  </si>
  <si>
    <t>N/A</t>
    <phoneticPr fontId="4" type="noConversion"/>
  </si>
  <si>
    <t>L</t>
    <phoneticPr fontId="4" type="noConversion"/>
  </si>
  <si>
    <t>L</t>
    <phoneticPr fontId="4" type="noConversion"/>
  </si>
  <si>
    <t>L</t>
    <phoneticPr fontId="4" type="noConversion"/>
  </si>
  <si>
    <t>Not Higher</t>
  </si>
  <si>
    <t>1. 윤리헌장을 제정하여 홈페이지에 게시하고 있다.
2. 윤리헌장의 내용은 다음과 같다. 
- 우리는 인공지능, 디지털 문서, SaaS 소프트웨어를 선도하는 사이냅소프트의 일원으로서 긍지와 자부심을 가지고 높은 윤리적 가치관을 바탕으로 정직하고 공정한 자세로 업무를 처리한다.
- 우리는 일체의 부정청탁 및 금품 등의 수수를 배격하고, 정직하고 공정한 자세로 업무를 처리하며 깨끗한 기업윤리를 준수한다.
- 우리는 고객에게 최고 품질의 소프트웨어를 제공하여 고객만족 경영을 실천한다.
- 우리는 국내외 제반 법규를 준수하고 자유경쟁의 시장 질서를 존중하며 모든 이해관계자와 공동의 발전을 추구한다.
- 우리는 지역사회의 일부분으로서 공헌활동에 적극적으로 참여하고 끊임없이 새로운 가치를 창조하여 국가와 사회의 발전에 기여한다.
- 우리는 임직원 개개인의 인격을 존중하고 차별 대우를 하지 않으며 공평한 기회와 공정한 평가를 받도록 하는 한편 임직원의 건강과 삶의 질 향상을 위해 노력한다.
- 우리는 생명을 존중하고 환경경영에 힘써서 깨끗한 자연환경과 생활환경을 만드는데 노력한다.</t>
    <phoneticPr fontId="4" type="noConversion"/>
  </si>
  <si>
    <t>1. 윤리헌장을 제정하여 홈페이지에 게시하고 있다.
2. 윤리헌장의 내용은 다음과 같다. 
- 우리는 인공지능, 디지털 문서, SaaS 소프트웨어를 선도하는 사이냅소프트의 일원으로서 긍지와 자부심을 가지고 높은 윤리적 가치관을 바탕으로 정직하고 공정한 자세로 업무를 처리한다.
- 우리는 일체의 부정청탁 및 금품 등의 수수를 배격하고, 정직하고 공정한 자세로 업무를 처리하며 깨끗한 기업윤리를 준수한다.
- 우리는 고객에게 최고 품질의 소프트웨어를 제공하여 고객만족 경영을 실천한다.
- 우리는 국내외 제반 법규를 준수하고 자유경쟁의 시장 질서를 존중하며 모든 이해관계자와 공동의 발전을 추구한다.
- 우리는 지역사회의 일부분으로서 공헌활동에 적극적으로 참여하고 끊임없이 새로운 가치를 창조하여 국가와 사회의 발전에 기여한다.
- 우리는 임직원 개개인의 인격을 존중하고 차별 대우를 하지 않으며 공평한 기회와 공정한 평가를 받도록 하는 한편 임직원의 건강과 삶의 질 향상을 위해 노력한다.
- 우리는 생명을 존중하고 환경경영에 힘써서 깨끗한 자연환경과 생활환경을 만드는데 노력한다.</t>
    <phoneticPr fontId="4" type="noConversion"/>
  </si>
  <si>
    <t>O</t>
    <phoneticPr fontId="2" type="noConversion"/>
  </si>
  <si>
    <t>윤리헌장</t>
    <phoneticPr fontId="4" type="noConversion"/>
  </si>
  <si>
    <t>A</t>
    <phoneticPr fontId="2" type="noConversion"/>
  </si>
  <si>
    <t>【문서검사】
1. 다음 항목들이 포함된 '윤리헌장'이 문서화되어 있는지 확인하고, 임직원 및 외부관계자들에게 홈페이지를 통해 공유되는지 확인한다.
- 우리는 인공지능, 디지털 문서, SaaS 소프트웨어를 선도하는 사이냅소프트의 일원으로서 긍지와 자부심을 가지고 높은 윤리적 가치관을 바탕으로 정직하고 공정한 자세로 업무를 처리한다.
- 우리는 일체의 부정청탁 및 금품 등의 수수를 배격하고, 정직하고 공정한 자세로 업무를 처리하며 깨끗한 기업윤리를 준수한다.
- 우리는 고객에게 최고 품질의 소프트웨어를 제공하여 고객만족 경영을 실천한다.
- 우리는 국내외 제반 법규를 준수하고 자유경쟁의 시장 질서를 존중하며 모든 이해관계자와 공동의 발전을 추구한다.
- 우리는 지역사회의 일부분으로서 공헌활동에 적극적으로 참여하고 끊임없이 새로운 가치를 창조하여 국가와 사회의 발전에 기여한다.
- 우리는 임직원 개개인의 인격을 존중하고 차별 대우를 하지 않으며 공평한 기회와 공정한 평가를 받도록 하는 한편 임직원의 건강과 삶의 질 향상을 위해 노력한다.
- 우리는 생명을 존중하고 환경경영에 힘써서 깨끗한 자연환경과 생활환경을 만드는데 노력한다.</t>
    <phoneticPr fontId="4" type="noConversion"/>
  </si>
  <si>
    <t>경영지원팀 전결권자</t>
    <phoneticPr fontId="4" type="noConversion"/>
  </si>
  <si>
    <t xml:space="preserve">RCM상 '관련 정책 및 문서'를 확인한 결과 통제활동은 해당 정책과 연계되어 있음을 확인함. </t>
  </si>
  <si>
    <t>RCM상 기재된 관련 통제위험을 감소시킬수 있도록 통제가 효과적으로 설계 되었음</t>
  </si>
  <si>
    <t>예외사항은 해당 통제의 수행시 오류가 발생할 경우로 정의하며, 추가절차를 위해 별도로 설정한 threshold는 없으며, 예외사항 발생시 즉시 추가적인 절차를 취하도록 설계됨.</t>
  </si>
  <si>
    <t xml:space="preserve">통제를 수행하는데 사용된 정보에 대한 컨트롤이 적절히 수행되고 있음. </t>
  </si>
  <si>
    <t xml:space="preserve">해당 사업연도 초에 통제가 설계되었으며, 설계이후 해당 통제의 수행기간은 충분하다고 판단됨. </t>
  </si>
  <si>
    <t>업무경험과 교육이수 등을 고려할 때 통제 수행자의 적격성은 충분함</t>
  </si>
  <si>
    <t xml:space="preserve">본 통제활동에서 다루는 윤리경영의 정책 수립는 거래의 연간 발생 빈도 및 중요도를 고려하여 주기를 A로 설정하였으며 통제 수행빈도는 해당 위험의 적시 예방 적발을 위해 적절하다고 판단됨. </t>
  </si>
  <si>
    <t xml:space="preserve">해당 통제와 관련한 중요한 위험인 [이사회 및 경영진이 추구하는 윤리경영에 대한 준수사항이 정책화 되어 있지 않아 모든 임직원을 포함하여 외부 이해관계자에 의해 준수되지 못할 위험. ]에 대해 완전히 고려되고 있음. </t>
  </si>
  <si>
    <t>전사</t>
    <phoneticPr fontId="4" type="noConversion"/>
  </si>
  <si>
    <t>EL-010</t>
    <phoneticPr fontId="4" type="noConversion"/>
  </si>
  <si>
    <t>EL-010-20</t>
  </si>
  <si>
    <t>EL-010-20-10</t>
  </si>
  <si>
    <t>이사회 및 경영진이 추구하는 도덕성 및 윤리적 가치가 모든 임직원을 포함하여 외부 이해관계자에게 전달되지 못할 위험.</t>
    <phoneticPr fontId="4" type="noConversion"/>
  </si>
  <si>
    <t>이사회 및 경영진이 추구하는 도덕성 및 윤리적 가치가 모든 임직원을 포함하여 외부 이해관계자에게 전달된다.</t>
    <phoneticPr fontId="4" type="noConversion"/>
  </si>
  <si>
    <t>윤리경영에 대한 이사회와 경영진 의지 강조</t>
    <phoneticPr fontId="4" type="noConversion"/>
  </si>
  <si>
    <t>이사회 및 경영진은 도덕성과 윤리적 가치를 다양한 형태로 모든 임직원을 포함한 외부 이해관계자에게 지속적으로 강조하고 있다.</t>
    <phoneticPr fontId="4" type="noConversion"/>
  </si>
  <si>
    <t>Yes</t>
    <phoneticPr fontId="4" type="noConversion"/>
  </si>
  <si>
    <t>P</t>
    <phoneticPr fontId="4" type="noConversion"/>
  </si>
  <si>
    <t>A</t>
    <phoneticPr fontId="4" type="noConversion"/>
  </si>
  <si>
    <t xml:space="preserve">1. 윤리헌장 실천지침에서는 윤리헌장에 포함된 제반 사항을 이행하지 않은 경우에 인사규정에 따른 징계를 할 수 있도록 규정하고 있다.
2. 윤리헌장을 포함한 제반 규정에 대해서 각 사원의 입사시에 교육이 이루어지고 있으며, 회사의 사규는 각 부서별로 각 사원이 상시열람이 가능할 수 있도록 그룹웨어(문서관리대장)에 등록되어 있다.
3. 리프레시 교육 시 전 임직원으로부터 윤리경영실천서약서를 징구한다.
</t>
    <phoneticPr fontId="4" type="noConversion"/>
  </si>
  <si>
    <t>기재된 내용대로 실행 가능한 지, 어렵다면 수정해주십시오.</t>
    <phoneticPr fontId="4" type="noConversion"/>
  </si>
  <si>
    <t>O</t>
    <phoneticPr fontId="2" type="noConversion"/>
  </si>
  <si>
    <t>윤리헌장 및 실천지침, 임직원리스트</t>
    <phoneticPr fontId="4" type="noConversion"/>
  </si>
  <si>
    <t>【문서검사】
1. 다음의 방법을 통해 윤리경영의 중요성을 강조하는 경영진의 커뮤니케이션 여부를 확인한다.
- 사이냅소프트 홈페이지를 통해 임직원 및 외부 이해관계자에게 윤리경영을 강조한 내용
2. 전 임직원으로부터 윤리경영실천서약서를 징구하고 있는지 확인한다.</t>
    <phoneticPr fontId="4" type="noConversion"/>
  </si>
  <si>
    <t>경영지원팀 전결권자</t>
    <phoneticPr fontId="4" type="noConversion"/>
  </si>
  <si>
    <t xml:space="preserve">본 통제활동에서 다루는 윤리경영에 대한 이사회와 경영진 의지 강조는 거래의 연간 발생 빈도 및 중요도를 고려하여 주기를 A로 설정하였으며 통제 수행빈도는 해당 위험의 적시 예방 적발을 위해 적절하다고 판단됨. </t>
  </si>
  <si>
    <t xml:space="preserve">해당 통제와 관련한 중요한 위험인 [이사회 및 경영진이 추구하는 도덕성 및 윤리적 가치가 모든 임직원을 포함하여 외부 이해관계자에게 전달되지 못할 위험. ]에 대해 완전히 고려되고 있음. </t>
  </si>
  <si>
    <t>도덕성과 윤리적 가치에 대한 책임</t>
    <phoneticPr fontId="4" type="noConversion"/>
  </si>
  <si>
    <t xml:space="preserve">[현황]
윤리헌장이 제정되어 있고, 경영진이 윤리경영에 대한 강조를 하고 있으나, 도덕성과 윤리적 가치에 대한 책임을 강조하기 위한 윤리교육, 윤리경영실천서약서 징구, 사이버신문고 제도 및 윤리헌장 위반에 대한 인사조치 규정이 구비되어 있지 아니함.
[잠재적위험]
윤리교육 및 관련 제도가 구비되지 않아 윤리의식 부족으로 인해 회사 내부에서의 정보보안, 인권존중, 자산의 보호 등과 관련한 부정 뿐만 아니라, 고객과의 관계에 있어서 책임의식 부재, 불공정거래 등이 발생할 수 있고, 대외적으로 법률규정 미준수 등과 관련한 문제가 발생할 위험이 존재함.
</t>
    <phoneticPr fontId="2" type="noConversion"/>
  </si>
  <si>
    <t>도덕성과 윤리적 가치에 대한 책임 강조를 보다 명확하게 하기 위해 주기적으로 교육을 실시하고, 관련 규정 및 제도를 정비해야 함.</t>
    <phoneticPr fontId="2" type="noConversion"/>
  </si>
  <si>
    <t>EL-010-30</t>
  </si>
  <si>
    <t>EL-010-30-10</t>
  </si>
  <si>
    <t>윤리경영 준수에 대한 평가가 이루어지지 않아 임직원 및 외부 이해관계자에 의해 윤리경영이 실천되지 않을 위험.</t>
    <phoneticPr fontId="4" type="noConversion"/>
  </si>
  <si>
    <t>윤리경영 준수에 대한 평가가 임직원 및 외부 이해관계자를 대상으로 실시되어 윤리경영이 실천되고 있다.</t>
    <phoneticPr fontId="4" type="noConversion"/>
  </si>
  <si>
    <t>윤리경영 프로그램 평가</t>
    <phoneticPr fontId="4" type="noConversion"/>
  </si>
  <si>
    <t>임직원 및 외부 이해관계자의 윤리규범 준수를 위해 윤리경영 준수에 대한 평가가 실시되고 있다.</t>
    <phoneticPr fontId="4" type="noConversion"/>
  </si>
  <si>
    <t>1. 홈페이지에 윤리헌장을 게재하여 임직원 및 외부 이해관계자에게 윤리헌장 준수를 강조하고 있다.
2. 홈페이지의 사이버신문고를 통해 임직원 및 외부 이해관계자가 익명으로 고발할 수 있도록 하여 윤리경영 강화 제도를 수립하고 있다.</t>
    <phoneticPr fontId="4" type="noConversion"/>
  </si>
  <si>
    <t>윤리헌장, 사이버신문고</t>
    <phoneticPr fontId="4" type="noConversion"/>
  </si>
  <si>
    <t>A</t>
    <phoneticPr fontId="2" type="noConversion"/>
  </si>
  <si>
    <t>【문서검사】
1. 홈페이지에 윤리헌장이 게재되어 있고, 사이버신문고 제도를 익명으로 운영하여 윤리경영을 강조하고 있는지 확인한다.</t>
    <phoneticPr fontId="4" type="noConversion"/>
  </si>
  <si>
    <t xml:space="preserve">본 통제활동에서 다루는 윤리경영 프로그램 평가는 거래의 연간 발생 빈도 및 중요도를 고려하여 주기를 A로 설정하였으며 통제 수행빈도는 해당 위험의 적시 예방 적발을 위해 적절하다고 판단됨. </t>
  </si>
  <si>
    <t xml:space="preserve">해당 통제와 관련한 중요한 위험인 [윤리경영 준수에 대한 평가가 이루어지지 않아 임직원 및 외부 이해관계자에 의해 윤리경영이 실천되지 않을 위험. ]에 대해 완전히 고려되고 있음. </t>
  </si>
  <si>
    <t>도덕성과 윤리적 가치에 대한 책임</t>
    <phoneticPr fontId="4" type="noConversion"/>
  </si>
  <si>
    <t>도덕성과 윤리적 가치에 대한 책임 강조를 보다 명확하게 하기 위해 주기적으로 교육을 실시하고, 관련 규정 및 제도를 정비해야 함.</t>
    <phoneticPr fontId="2" type="noConversion"/>
  </si>
  <si>
    <t>EL-010-40</t>
  </si>
  <si>
    <t>EL-010-40-10</t>
  </si>
  <si>
    <t>윤리강령의 위반사항은 적시에 일관된 방식으로 식별되고 개선되지 않아 회사의 내·외부 이해관계자가 윤리적 가치를 준수하지 않을 위험</t>
    <phoneticPr fontId="4" type="noConversion"/>
  </si>
  <si>
    <t>윤리 위반사항이 적절히 시정조치되며 회사 윤리규범에 대한 임직원과 외부관계자들의 준수의지를 제고한다.</t>
    <phoneticPr fontId="4" type="noConversion"/>
  </si>
  <si>
    <t xml:space="preserve">윤리강령 위반사항의 적시 조사 및 처리
</t>
    <phoneticPr fontId="4" type="noConversion"/>
  </si>
  <si>
    <t xml:space="preserve">윤리 위반사항의 식별, 조사, 보고 및 조치결과(대응방안)의 공표 등 일관된 절차에 의해 업무가 처리되도록 문서화하고 운영한다.  
</t>
    <phoneticPr fontId="4" type="noConversion"/>
  </si>
  <si>
    <t>N/A</t>
    <phoneticPr fontId="4" type="noConversion"/>
  </si>
  <si>
    <t>윤리헌장 위반사례 접수리스트</t>
    <phoneticPr fontId="4" type="noConversion"/>
  </si>
  <si>
    <t>A</t>
    <phoneticPr fontId="2" type="noConversion"/>
  </si>
  <si>
    <t>【문서검사】
1. 윤리헌장 위반사례 접수리스트에서 표본을 추출하여 다음을 확인한다.
- 접수된 내용에 대해 조사하고, 그 결과를 대표이사에게 보고했는지 여부
- 징계위원회 개최 여부
- 관련 교육 실시 여부</t>
    <phoneticPr fontId="4" type="noConversion"/>
  </si>
  <si>
    <t xml:space="preserve">본 통제활동에서 다루는 윤리강령 위반사항의 적시 조사 및 처리
는 거래의 연간 발생 빈도 및 중요도를 고려하여 주기를 A로 설정하였으며 통제 수행빈도는 해당 위험의 적시 예방 적발을 위해 적절하다고 판단됨. </t>
  </si>
  <si>
    <t xml:space="preserve">해당 통제와 관련한 중요한 위험인 [윤리강령의 위반사항은 적시에 일관된 방식으로 식별되고 개선되지 않아 회사의 내·외부 이해관계자가 윤리적 가치를 준수하지 않을 위험 ]에 대해 완전히 고려되고 있음. </t>
  </si>
  <si>
    <t>EL-010-50</t>
  </si>
  <si>
    <t>EL-010-50-10</t>
  </si>
  <si>
    <t>김세영</t>
  </si>
  <si>
    <t xml:space="preserve">내부회계관리제도와 관련한 이사회 및 감사의 명확하지 않은 역할과 책임의 정의로 관리 및 감독 기능이 효과적으로 작동되지 못할 위험 
</t>
    <phoneticPr fontId="4" type="noConversion"/>
  </si>
  <si>
    <t xml:space="preserve">재무보고 및 내부회계관리제도 감독 관련 이사회 및 감사의 역할∙책임 정의가 명확하며 내부회계관리제도 감독 기능이 효과적으로 작동된다. 
</t>
    <phoneticPr fontId="4" type="noConversion"/>
  </si>
  <si>
    <t xml:space="preserve">내부회계관리제도와 관련한 이사회 및 감사의 역할 및 책임 정의
</t>
    <phoneticPr fontId="4" type="noConversion"/>
  </si>
  <si>
    <t>내부회계관리제도와 관련한 이사회 및 감사의 역할과 책임을 명확히 정의하고 적격성과 독립성을 주기적으로 검토한다.</t>
    <phoneticPr fontId="4" type="noConversion"/>
  </si>
  <si>
    <t xml:space="preserve">1. 이사회의 역할, 책임 및 위임 권한은 관련 법규, 정관 및 이사회 규정 등에 정의되며, 이사회는 다음과 같은 업무를 포함하여 경영진을 관리 감독한다.
- 내부회계관리규정 제·개정의 결의 및 중요 정책의 승인
- 내부회계관리제도의 설계 및 운영에 대한 경영진의 중요한 조치 사항 검토
- 내부회계관리제도의 중요한 변화 사항에 대한 경영진의 조치 사항 검토
- 내부회계관리제도의 평가 결과 및 개선 조치에 대한 확인 등
2. '내부회계관리규정 및 업무지침' 및 '감사직무규정'을 제/개정하여 감사의 다음과 같은 역할 및 책임을 다음과 같이 정의하고 운영하고 있다.
- 내부회계관리제도에 대한 관리 감독 
- 부정방지 프로그램에 대한 관리 감독
- 외부감사인에 대한 관리 감독 
- 기타 감사 관련 정책, 절차 및 보고에 대한 관리 감독
</t>
    <phoneticPr fontId="4" type="noConversion"/>
  </si>
  <si>
    <t>내부회계관리규정 및 업무지침, 감사직무규정</t>
    <phoneticPr fontId="4" type="noConversion"/>
  </si>
  <si>
    <t>【문서검사】
1. '이사회규정'과 '내부회계관리규정 및 업무지침'에 다음의 내용이 규정되어 있는지 확인한다.
- 내부회계관리내규 제·개정의 결의 및 중요 정책의 승인
- 내부회계관리제도의 설계 및 운영에 대한 경영진의 중요한 조치 사항 검토
- 내부회계관리제도의 중요한 변화 사항에 대한 경영진의 조치 사항 검토
- 내부회계관리제도의 평가 결과 및 개선 조치에 대한 확인 등
2. '이사회의사록'을 검토하여 '이사회규정' 및 '내부회계관리규정 및 업무지침'에 규정된 상기의 역할이 수행되었는지 확인한다.
3. '감사직무규정'과 '내부회계관리규정 및 업무지침'에 다음의 내용이 규정되어 있는지 확인한다.
- 내부회계관리제도에 대한 관리 감독 
- 부정방지 프로그램에 대한 관리 감독
- 외부감사인에 대한 관리 감독 
- 기타 감사 관련 정책, 절차 및 보고에 대한 관리 감독</t>
    <phoneticPr fontId="4" type="noConversion"/>
  </si>
  <si>
    <t xml:space="preserve">본 통제활동에서 다루는 내부회계관리제도와 관련한 이사회 및 감사의 역할 및 책임 정의
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</si>
  <si>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[내부회계관리제도와 관련한 이사회 및 감사의 명확하지 않은 역할과 책임의 정의로 관리 및 감독 기능이 효과적으로 작동되지 못할 위험 
 ]에 대해 완전히 고려되고 있음. </t>
  </si>
  <si>
    <t>내부회계관리제도 관련 규정의 수립 및 준수</t>
    <phoneticPr fontId="4" type="noConversion"/>
  </si>
  <si>
    <t>[현황]
현재는 비상장법인으로 내부회계관리제도의 운영의무가 없기 때문에 규정 및 조직이 구비되어 있지 아니함.
[잠재적위험]
내부회계관리규정 및 조직의 미비로 인해 주식회사등의외부감사에관한법률상의 의무를 준수하지 못할 가능성이 존재함.</t>
    <phoneticPr fontId="2" type="noConversion"/>
  </si>
  <si>
    <t>향후 상장 시, 주식회사등의외부감사에관한법률 제8조에 따라 신뢰할 수 있는 회계정보의 작성과 공시를 위하여 다음 각 호의 사항이 포함된 내부회계관리규정과 이를 관리ㆍ운영하는 조직을 갖추어야 함.
1. 회계정보의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t>
    <phoneticPr fontId="2" type="noConversion"/>
  </si>
  <si>
    <t>EL-010-60</t>
  </si>
  <si>
    <t>EL-010-60-10</t>
  </si>
  <si>
    <t>감사의 독립성과 전문성 결여로 감독 기능이 효과적으로 운영되지 못할 위험.</t>
    <phoneticPr fontId="4" type="noConversion"/>
  </si>
  <si>
    <t>감사의 선임 절차를 명확히 하고 전문성과 독립성을 주기적으로 평가하여 감독 기능이 효과적으로 운영된다.</t>
    <phoneticPr fontId="4" type="noConversion"/>
  </si>
  <si>
    <t>감사 선임 및 주기적 평가</t>
    <phoneticPr fontId="4" type="noConversion"/>
  </si>
  <si>
    <t>감사의 선임 기준을 명확히 하고 주기적으로 평가하여 감사의 기능이 효과적으로 운영된다.</t>
    <phoneticPr fontId="4" type="noConversion"/>
  </si>
  <si>
    <t>1. 이사회는 감사의 전문성과 독립성이 적정한지 검토를 수행하며, 다음 항목을 고려하여 검토를 수행한다.
- 후보자의 배경 및 평판
- 회사의 외부 재무보고에 영향을 미칠 수 있는 문제를 이해하는데 필요한 회계기준, 회계감사, 내부통제, 관련 법규 및 각종 지식을 포함한 전문성
- 경영진 및 회사와의 독립성을 유지하기 위해 후보가 소속한 조직에서 현재 후보의 역할과 직급 등의 적정성
2. 연1회 감사평가 체크리스트를 작성하여 감사의 적격성과 독립성을 평가한다.</t>
    <phoneticPr fontId="4" type="noConversion"/>
  </si>
  <si>
    <t>이사회의사록
(감사 후보 추천 안건)
/감사평가체크리스트</t>
    <phoneticPr fontId="4" type="noConversion"/>
  </si>
  <si>
    <t xml:space="preserve">【문서검사】
1. '이사회의사록'의 감사 후보 추천 안건을 확인하고 감사의 적격성과 독립성이 검토되는지 다음의 사항 등을 확인한다.
- 이사회의 감사 후보 검증 절차의 수행 및 문서화(배경 및 평판, 전문성과 독립성, 자격요건 검토 등)
2. '감사 평가 체크리스트'를 입수하여 감사의 적격성과 독립성이 정기적으로 검토되고 있는지 확인한다.
</t>
    <phoneticPr fontId="4" type="noConversion"/>
  </si>
  <si>
    <t xml:space="preserve">본 통제활동에서 다루는 감사 선임 및 주기적 평가는 거래의 연간 발생 빈도 및 중요도를 고려하여 주기를 A로 설정하였으며 통제 수행빈도는 해당 위험의 적시 예방 적발을 위해 적절하다고 판단됨. </t>
  </si>
  <si>
    <t xml:space="preserve">해당 통제와 관련한 중요한 위험인 [감사의 독립성과 전문성 결여로 감독 기능이 효과적으로 운영되지 못할 위험. ]에 대해 완전히 고려되고 있음. </t>
  </si>
  <si>
    <t>EL-010-70</t>
  </si>
  <si>
    <t>EL-010-70-10</t>
  </si>
  <si>
    <t>이사회 및 감사의 재무보고 및 내부회계관리제도 감독 부실로 인해 내부회계관리제도 감독 기능이 효과적으로 작동되지 못할 위험.</t>
    <phoneticPr fontId="4" type="noConversion"/>
  </si>
  <si>
    <t>이사회 및 감사에 의해 재무보고 및 내부회계관리제도가 감독되어 내부회계관리제도가 효과적으로 운영된다.</t>
    <phoneticPr fontId="4" type="noConversion"/>
  </si>
  <si>
    <t>이사회 및 감사의 내부회계관리제도 감독 수행</t>
    <phoneticPr fontId="4" type="noConversion"/>
  </si>
  <si>
    <t>이사회 및 감사에 의해 재무보고 및 내부회계관리제도 활동이 감독된다.</t>
    <phoneticPr fontId="4" type="noConversion"/>
  </si>
  <si>
    <t xml:space="preserve">1. 내부회계관리제도와 관련한 이사회의 감독 수행은 다음과 같다.
- 대표이사는 매 사업연도마다 이사회에 내부회계관리제도의 운영실태를 보고
- 감사는 내부회계관리제 운영실태를 평가하여 이사회에 보고
2. 감사는 경영진의 중요한 판단에 대한 검토 및 외부감사인과 의사소통하는 절차를 수행한다.
- 회계 고유의 정책의 선택과 적용 방안
- 회사가 당면한 주요 재무제표 왜곡 표시 위험
- 감사 범위 및 테스트 계획 
- 중요성 금액 산정의 근거
- 중요한 회계 정책
- 감사에 필요한 지원 및 인원 (감사투입시간 등 포함)
- 감사에 대응하는 조직과 문화
- 내부회계관리제도에 대한 경영진의 평가
- 중요한 감사 발견사항
- 재무보고의 품질 및 신뢰성
- 내부고발자 및 부정 관련 프로그램 관련 제반 사항
</t>
    <phoneticPr fontId="4" type="noConversion"/>
  </si>
  <si>
    <t>이사회의사록
/감사록</t>
    <phoneticPr fontId="4" type="noConversion"/>
  </si>
  <si>
    <t>【문서검사】
1. '이사회의사록'을 검토하여 다음사항이 보고되었는지 확인한다.
- 내부회계관리제도의 운영실태를 보고
- 내부회계관리제 운영실태를 평가결과 보고
2. '감사록'을 입수하여 감사가 경영진 및 외부 감사인과 다음의 사항 등에 대해 의사소통이 수행되었는지 확인한다.
- 회계 고유의 정책의 선택과 적용 방안
- 회사가 당면한 주요 재무제표 왜곡 표시 위험
- 감사 범위 및 테스트 계획 
- 중요성 금액 산정의 근거
- 중요한 회계 정책
- 감사에 필요한 지원 및 인원 (감사투입시간 등 포함)
- 감사에 대응하는 조직과 문화
- 내부회계관리제도에 대한 경영진의 평가
- 중요한 감사 발견사항
- 재무보고의 품질 및 신뢰성
- 내부고발자 및 부정 관련 프로그램 관련 제반 사항</t>
    <phoneticPr fontId="4" type="noConversion"/>
  </si>
  <si>
    <t xml:space="preserve">본 통제활동에서 다루는 이사회 및 감사의 내부회계관리제도 감독 수행는 거래의 연간 발생 빈도 및 중요도를 고려하여 주기를 A로 설정하였으며 통제 수행빈도는 해당 위험의 적시 예방 적발을 위해 적절하다고 판단됨. </t>
  </si>
  <si>
    <t xml:space="preserve">해당 통제와 관련한 중요한 위험인 [이사회 및 감사의 재무보고 및 내부회계관리제도 감독 부실로 인해 내부회계관리제도 감독 기능이 효과적으로 작동되지 못할 위험. ]에 대해 완전히 고려되고 있음. </t>
  </si>
  <si>
    <t>향후 상장 시, 주식회사등의외부감사에관한법률 제8조에 따라 신뢰할 수 있는 회계정보의 작성과 공시를 위하여 다음 각 호의 사항이 포함된 내부회계관리규정과 이를 관리ㆍ운영하는 조직을 갖추어야 함.
1. 회계정보의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t>
    <phoneticPr fontId="2" type="noConversion"/>
  </si>
  <si>
    <t>EL-010-80</t>
  </si>
  <si>
    <t>EL-010-80-10</t>
  </si>
  <si>
    <t>내부회계관리 전담조직의 역할·책임이 명확하게 정의되지 않아 내부회계관리제도 설계·운영의 효과성이 저하되고 내부회계관리제도 관련 의사결정이 적정하게 이루어지지 않을 위험.</t>
    <phoneticPr fontId="4" type="noConversion"/>
  </si>
  <si>
    <t>내부회계관리 전담조직의 역할·책임이 명확하게 정의되어 내부회계관리제도 설계·운영이 효과적이고 내부회계관리제도 관련 의사결정이 적정하게 이루어 지고 있다.</t>
    <phoneticPr fontId="4" type="noConversion"/>
  </si>
  <si>
    <t>내부회계관리 조직구조 및 보고체계 정립</t>
    <phoneticPr fontId="4" type="noConversion"/>
  </si>
  <si>
    <t>내부회계관리 전담조직의 역할·책임이 명확하게 정의되어 내부회계관리제도가 효과적으로 운영되고 있다.</t>
    <phoneticPr fontId="4" type="noConversion"/>
  </si>
  <si>
    <t xml:space="preserve">1. '내부회계관리규정 및 업무지침'에 내부회계관리제도를 설계, 운영 및 평가를 위한 조직의 역할과 책임을 다음과 같이 규정하고 있다.
1) 이사회
   -. 내부회계관리제도의 설계 및 운영 감독책임
2) 대표이사
   - 내부회계관리제도 관리 , 운영의 궁극적인 책임
   - 내부회계관리제도 운영을 담당하는 내부회계관리자 지정
3) 내부회계관리자
   - 내부회계관리제도 설계 및 운영을 총괄
   - 내부회계관리제도 설계 및 운영 효과성 점검
   - 이사회 및 감사에 내부회계관리제도 운영실태 보고
4) 감사
   - 내부회계관리제도 운영실태에 대한 평가 및 보고
5) 통제담당자
   - 내부회계관리제도 통제활동 적용 책임
   - 내부회계관리제도 통제활동 변화 사항 파악 및 보고
</t>
    <phoneticPr fontId="4" type="noConversion"/>
  </si>
  <si>
    <t>내부회계관리규정 및 업무지침</t>
    <phoneticPr fontId="4" type="noConversion"/>
  </si>
  <si>
    <t>【문서검사】
1. 내부회계관리규정 및 업무지침'을 징구하여 다음을 포함한 내부회계 관리조직의 역할과 책임이 정의되었는지 확인한다.
1) 이사회
   -. 내부회계관리제도의 설계 및 운영 감독책임
2) 대표이사
   - 내부회계관리제도 관리 , 운영의 궁극적인 책임
   - 내부회계관리제도 운영을 담당하는 내부회계관리자 지정
3) 내부회계관리자
   - 내부회계관리제도 설계 및 운영을 총괄
   - 내부회계관리제도 설계 및 운영 효과성 점검
   - 이사회 및 감사에 내부회계관리제도 운영실태 보고
4) 감사
   - 내부회계관리제도 운영실태에 대한 평가 및 보고
5) 통제담당자
   - 내부회계관리제도 통제활동 적용 책임
   - 내부회계관리제도 통제활동 변화 사항 파악 및 보고</t>
    <phoneticPr fontId="4" type="noConversion"/>
  </si>
  <si>
    <t xml:space="preserve">본 통제활동에서 다루는 내부회계관리 조직구조 및 보고체계 정립는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</si>
  <si>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 전담조직의 역할·책임이 명확하게 정의되지 않아 내부회계관리제도 설계·운영의 효과성이 저하되고 내부회계관리제도 관련 의사결정이 적정하게 이루어지지 않을 위험. ]에 대해 완전히 고려되고 있음. </t>
  </si>
  <si>
    <t>EL-010-90</t>
  </si>
  <si>
    <t>EL-010-90-10</t>
  </si>
  <si>
    <t>내부회계관리제도 운영을 위한 권한 및 책임이 명확하게 정의되지 않아 내부회계관리제도 설계∙운영의 효과성이 저하될 위험.</t>
    <phoneticPr fontId="4" type="noConversion"/>
  </si>
  <si>
    <t>내부회계관리제도 운영을 위한 권한 및 책임을 명확하게 정의하여 내부회계관리제도를 효과적으로 설계 및 운영한다.</t>
    <phoneticPr fontId="4" type="noConversion"/>
  </si>
  <si>
    <t>내부회계관리 권한 및 책임 정립</t>
    <phoneticPr fontId="4" type="noConversion"/>
  </si>
  <si>
    <t>위임전결 규정 등을 통해 내부회계관리제도 운영을 위한 권한 및 책임을 명확하게 정의한다.</t>
    <phoneticPr fontId="4" type="noConversion"/>
  </si>
  <si>
    <t>1. 업무분장의 중요성 전달 및 임직원의 권한과 책임을 명확하게 규정하고, 부서 내의 업무보고체계를 확립하고자 다음의 규정을 제정하여 운영하고 있으며, 그룹웨어에 저장되어 모든 임직원에게 공유되고 있다.
- 위임전결규정
- 부서별 업무분장
2. 재무보고를 포함한 업무 프로세스의 권한 및 책임을 명확히 하기 위해 제정된 상기 규정에 따라 거래의 승인과 처리, 보고가 이루어지고 있으며, 변경사항 발생 시 업데이트되고 있다. 규정의 업데이트는 대표이사의 승인을 받고 있다.
3. 내부회계관리규정 및 업무지침에서 정의한 RCM을 작성하고 있으며, 해당 문서에 업무담당자별로 관련 업무내역을 기술하고 있다.
4. 내부회계관리규정 및 업무지침를 통해 내부회계관리제도와 관련된 책임을 다음과 같이 정의함.
- 내부회게관리제도 운영: 현업부서, 내부회계전담부서
- 내부회계관리제도 운영실태 점검: 내부회계전담부서
- 내부회계관리제도 운영실태 평가: 감사</t>
    <phoneticPr fontId="4" type="noConversion"/>
  </si>
  <si>
    <t>규정명 확인 필요/재무보고 관련 규정 제정 필요</t>
    <phoneticPr fontId="4" type="noConversion"/>
  </si>
  <si>
    <t>조직도, 위임전결규정, 부서별 업무분장, 내부회계관리규정 및 업무지침</t>
    <phoneticPr fontId="4" type="noConversion"/>
  </si>
  <si>
    <t>【문서검사】
1. 위임전결규정 및 부서별 업무분장이 구비되어 있고, 해당 규정에 업무분장 및 권한과 책임이 분리되어 있는지 확인한다.
2. 상기 1의 규정이 개정된 경우, 대표이사의 승인을 받았는지 관련 품의서를 확인한다.
3. 내부회계관리규정 및 업무지침에 외부 재무보고 및 내부회계관리제도와 관련된 권한 및 책임을 명시하고 있는지 확인한다.
- 내부회계관리조직의 임직원에게 위임된 권한과 책임
- 내부회계관리조직의 주요 역할, 자격요건</t>
    <phoneticPr fontId="4" type="noConversion"/>
  </si>
  <si>
    <t xml:space="preserve">본 통제활동에서 다루는 내부회계관리 권한 및 책임 정립는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</si>
  <si>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 운영을 위한 권한 및 책임이 명확하게 정의되지 않아 내부회계관리제도 설계∙운영의 효과성이 저하될 위험. ]에 대해 완전히 고려되고 있음. </t>
  </si>
  <si>
    <t>EL-010-100</t>
  </si>
  <si>
    <t>EL-010-100-10</t>
  </si>
  <si>
    <t>내부회계관리제도 설계·운영 활동이 적격하지 않은 인원에 의해 수행되어 내부회계관리제도의 목적을 달성하지 못할 위험.</t>
    <phoneticPr fontId="4" type="noConversion"/>
  </si>
  <si>
    <t>내부회계관리제도 설계·운영 활동은 적격한 인원에 의해 수행되고 있다</t>
    <phoneticPr fontId="4" type="noConversion"/>
  </si>
  <si>
    <t>내부회계관리제도 적격성 기준 정의</t>
    <phoneticPr fontId="4" type="noConversion"/>
  </si>
  <si>
    <t>내부회계관리제도를 운영하는 주요 임직원의 적격성 기준을 정의한다.</t>
    <phoneticPr fontId="4" type="noConversion"/>
  </si>
  <si>
    <t xml:space="preserve">1. '내부회계관리규정 및 업무지침'를 제개정하여 내부회계관리제도 관련 주요 역할 수행 부서의 직무 수행을 위한 필요 지식, 기술, 전문성 등 적격성을 구체적으로 명시하고 있다. </t>
    <phoneticPr fontId="4" type="noConversion"/>
  </si>
  <si>
    <t>【문서검사】
1. '내부회계관리규정 및 업무지침'을 입수하여 내부회계관리제도와 관련된 주요 역할별 적격성 기준을 구체적으로 명시하였는지 확인한다. 
  • 내부회계관리자
  • 내부회계전담부서
  • 회계정보 작성</t>
    <phoneticPr fontId="4" type="noConversion"/>
  </si>
  <si>
    <t xml:space="preserve">본 통제활동에서 다루는 내부회계관리제도 적격성 기준 정의는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</si>
  <si>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 설계·운영 활동이 적격하지 않은 인원에 의해 수행되어 내부회계관리제도의 목적을 달성하지 못할 위험. ]에 대해 완전히 고려되고 있음. </t>
  </si>
  <si>
    <t>EL-010-110</t>
  </si>
  <si>
    <t>EL-010-110-10</t>
  </si>
  <si>
    <t>내부회계관리조직이 충분한 능력을 보유하지 못해 내부회계관리제도의 목적을 달성하지 못할 위험</t>
    <phoneticPr fontId="4" type="noConversion"/>
  </si>
  <si>
    <t>내부회계관리제도 설계·운영 활동은 적격한 인원에 의해 수행되고, 이에 대한 평가가 이루어져야 합니다.</t>
    <phoneticPr fontId="4" type="noConversion"/>
  </si>
  <si>
    <t>내부회계관리제도 적격성  평가</t>
    <phoneticPr fontId="4" type="noConversion"/>
  </si>
  <si>
    <t>적격성 기준에 부합한 임직원에 의해 내부회계관리제도가 설계 및 운영되는지 평가된다.</t>
    <phoneticPr fontId="4" type="noConversion"/>
  </si>
  <si>
    <t>Yes</t>
    <phoneticPr fontId="4" type="noConversion"/>
  </si>
  <si>
    <t>N/A</t>
    <phoneticPr fontId="2" type="noConversion"/>
  </si>
  <si>
    <t>1. '내부회계관리업무지침'에 따라 내부회계관리규정을 관리·운영하는 임직원 및 회계정보를 작성하는 임직원(대표자 등)의 적격성을 정의하고 있으며, 통제수행자 및 통제평가자에 대해서는 별도의 적격성 Template을 활용하여 평가하고 있다. 
2. 재무보고 및 내부회계관리제도 관련 외부서비스제공자 선정 시 다음과 같은 항목들의 적격성 기준에 따른 평가 절차를 수립·운영한다.
- 외부서비스제공자의 경험, 전문성, 기술적 역량, 평판
- 공급업체 관련 회사의 정책 및 윤리적 기준</t>
    <phoneticPr fontId="4" type="noConversion"/>
  </si>
  <si>
    <t>N/A</t>
    <phoneticPr fontId="4" type="noConversion"/>
  </si>
  <si>
    <t>O</t>
    <phoneticPr fontId="2" type="noConversion"/>
  </si>
  <si>
    <t>적격성 Template
/OSP List</t>
    <phoneticPr fontId="4" type="noConversion"/>
  </si>
  <si>
    <t>【문서검사】
1. 통제기술서에서 통제수행자의 적격성을 평가하고 있는지 확인한다.
2. 평가기간의 적격성 Template이 작성되었는지 확인한다.
3. 평가기간 중 신규 계약된 '외부서비스제공자' 중 샘플링 후, 외부서비스제공자 선정 시 다음 항목에 대한 적격성 평가가 이루어지는지 확인한다.
- 외부서비스제공자의 경험, 전문성, 기술적 역량, 평판
- 공급업체 관련 회사의 정책 및 윤리적 기준</t>
    <phoneticPr fontId="4" type="noConversion"/>
  </si>
  <si>
    <t>경영지원팀 전결권자</t>
    <phoneticPr fontId="4" type="noConversion"/>
  </si>
  <si>
    <t xml:space="preserve">본 통제활동에서 다루는 내부회계관리제도 적격성  평가는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</si>
  <si>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[내부회계관리조직이 충분한 능력을 보유하지 못해 내부회계관리제도의 목적을 달성하지 못할 위험 ]에 대해 완전히 고려되고 있음. </t>
  </si>
  <si>
    <t>내부회계관리제도 관련 규정의 수립 및 준수</t>
    <phoneticPr fontId="4" type="noConversion"/>
  </si>
  <si>
    <t>향후 상장 시, 주식회사등의외부감사에관한법률 제8조에 따라 신뢰할 수 있는 회계정보의 작성과 공시를 위하여 다음 각 호의 사항이 포함된 내부회계관리규정과 이를 관리ㆍ운영하는 조직을 갖추어야 함.
1. 회계정보의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t>
    <phoneticPr fontId="2" type="noConversion"/>
  </si>
  <si>
    <t>전사</t>
    <phoneticPr fontId="4" type="noConversion"/>
  </si>
  <si>
    <t>EL-010</t>
    <phoneticPr fontId="4" type="noConversion"/>
  </si>
  <si>
    <t>EL-010-120</t>
  </si>
  <si>
    <t>EL-010-120-10</t>
  </si>
  <si>
    <t>내부회계관리제도 목적에 부합하지 않는 인력으로 인해 내부통제제도가 효과적으로 작동하지 못할 위험</t>
    <phoneticPr fontId="4" type="noConversion"/>
  </si>
  <si>
    <t>내부회계관리제도 설계∙운영에 필요한 수준의 인력이 확보되어 회사 내부통제의 효과성이 지속적으로 유지된다.</t>
    <phoneticPr fontId="4" type="noConversion"/>
  </si>
  <si>
    <t xml:space="preserve">내부회계관리제도에 대한 적격성 유지 프로그램 운영
</t>
    <phoneticPr fontId="4" type="noConversion"/>
  </si>
  <si>
    <t>내부회계관리제도와 관련한 주요 조직 및 인력의 적격성 유지를 위해 정기 혹은 비정기적으로 교육프로그램이 계획되고 운영된다.</t>
    <phoneticPr fontId="4" type="noConversion"/>
  </si>
  <si>
    <t>N/A</t>
    <phoneticPr fontId="2" type="noConversion"/>
  </si>
  <si>
    <t>A</t>
    <phoneticPr fontId="4" type="noConversion"/>
  </si>
  <si>
    <t>1. '내부회계관리규정 및 업무지침'에 따라 내부회계관리제도 관련 교육과 관련한 절차 및 지침을 문서화하고 '내부회계관리제도 관련 업무 수행 임직원'을 대상으로 다음과 같이 계획하고 교육 프로그램을 운영하고 있다.
1) 교육주제 
- 내부회계관리제도의 이해
- 회계 및 내부회계관리제도 관련 법령, 기준 및 회사 규정의 제·개정
- 회계·재무 역량강화 교육
2) 교육대상
3) 교육일정
4) 진행방법(집합, 온라인 등)
5) 교육이수 모니터링</t>
    <phoneticPr fontId="4" type="noConversion"/>
  </si>
  <si>
    <t>연간교육계획서
/내부회계관리 교육대상자 리스트</t>
    <phoneticPr fontId="4" type="noConversion"/>
  </si>
  <si>
    <t xml:space="preserve">【문서검사】
1. 내부회계관리제도 역할별 담당자 리스트에서 샘플링하여 내부회계 교육 계획('연간교육계획')에 따라 교육활동이 수행되었는지 교육이수 현황을 확인한다.
</t>
    <phoneticPr fontId="4" type="noConversion"/>
  </si>
  <si>
    <t xml:space="preserve">본 통제활동에서 다루는 내부회계관리제도에 대한 적격성 유지 프로그램 운영
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</si>
  <si>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 목적에 부합하지 않는 인력으로 인해 내부통제제도가 효과적으로 작동하지 못할 위험 ]에 대해 완전히 고려되고 있음. </t>
  </si>
  <si>
    <t>[현황]
현재는 비상장법인으로 내부회계관리제도의 운영의무가 없기 때문에 규정 및 조직이 구비되어 있지 아니함.
[잠재적위험]
내부회계관리규정 및 조직의 미비로 인해 주식회사등의외부감사에관한법률상의 의무를 준수하지 못할 가능성이 존재함.</t>
    <phoneticPr fontId="2" type="noConversion"/>
  </si>
  <si>
    <t>EL-010-130</t>
  </si>
  <si>
    <t>EL-010-130-10</t>
  </si>
  <si>
    <t>내부회계관리제도 책임 이행에 적합한 성과 평가 및 보상 정책의 부재로 내부회계관리제도의 목적을 달성하지 못할 위험</t>
    <phoneticPr fontId="4" type="noConversion"/>
  </si>
  <si>
    <t>경영진과 이사회는 내부회계관리제도 목적 달성을 위해 내부회계관리제도 책임 이행과 그에 따른 성과 평가 및 보상을 연계한다.</t>
    <phoneticPr fontId="4" type="noConversion"/>
  </si>
  <si>
    <t xml:space="preserve">내부회계관리제도 책임 이행 결과를 성과평가와 연계
</t>
    <phoneticPr fontId="4" type="noConversion"/>
  </si>
  <si>
    <t xml:space="preserve">내부회계관리제도 책임 이행과 연계하여 임직원의 성과평가에 반영하고 성과평가의 측정지표는 주기적으로 검토된다. </t>
    <phoneticPr fontId="4" type="noConversion"/>
  </si>
  <si>
    <t>1. 내부회계관리제도 목표 달성을 위하여 성과 평가, 인센티브 및 보상 정책을 수립, 운영한다.
- 내부회계관리제도의 중장기 목표를 달성하는데 필요한 조직의 임직원을 대상으로 함.
- 내부회계관리제도 평가 결과를 성과평가 지표에 반영하여 인사 또는 보수와 연계함.
2. 이사회 및 경영진은 매년 설정된 내부회계관리제도 성과측정 지표에 대하여 다음 사항을 고려하여 주기적으로 적정성을 검토한다.
- 평가지표가 의도한대로 작동하는지 여부(성과평가지표가 통제를 우회할 만한 과도한 압박을 초래하는지 여부 등)
- 성과측정지표의 적정 여부
3. 이사회는 내부회계관리제도 성과평가가 적절하게 완료되었음을 관리감독하고 관련 보상계획을 승인한다.</t>
    <phoneticPr fontId="4" type="noConversion"/>
  </si>
  <si>
    <t>내부회계관리제도 성과평가 보고자료
/이사회의사록</t>
    <phoneticPr fontId="4" type="noConversion"/>
  </si>
  <si>
    <t>【문서검사】
1. '내부회계관리규정 및 업무지침'에 내부회계관리제도 평가 결과와 성과평가 및 보상체계 등과 연계되는 정책 및 절차가 수립되어 있는지 확인한다.
2. '대표자 등'에 설정된 성과(또는 역량평가) 지표를 징구하여 다음과 같은 지표가 포함되었는지 확인한다. 
   • 윤리적 가치 
    -  윤리교육 이수
    -  윤리설문조사 응답
    -  제도 제언
    -  비윤리행위 적발
   • 내부회계관리제도 및 재무보고 가치
    -  내부회계관리제도 및 재무보고 관련 교육 이수 
    -  통제활동 지적사항 여부 (내부회계관리제도 설계/운영평가 결과 또는 외부감사인 검토 결과)
3. '이사회의사록'에 설정된 성과측정 지표에 대하여 아래와 같은 사항을 고려하여 적정성에 대한 검토가 이루어지고 있는지 확인한다.
- 평가지표가 의도한대로 작동하는지 여부
- 성과측정지표의 적정 여부(과도한 압박 요인 등)
4. 평가기간 실시된 '이사회의사록'을 입수하여 성과평가가 적절하게 완료되었음을 관리·감독하고, 관련 보상 계획을 승인하였는지 확인한다.</t>
    <phoneticPr fontId="4" type="noConversion"/>
  </si>
  <si>
    <t xml:space="preserve">본 통제활동에서 다루는 내부회계관리제도 책임 이행 결과를 성과평가와 연계
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</si>
  <si>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 책임 이행에 적합한 성과 평가 및 보상 정책의 부재로 내부회계관리제도의 목적을 달성하지 못할 위험 ]에 대해 완전히 고려되고 있음. </t>
  </si>
  <si>
    <t>EL-020</t>
    <phoneticPr fontId="4" type="noConversion"/>
  </si>
  <si>
    <t>위험평가</t>
  </si>
  <si>
    <t>EL-020-10</t>
  </si>
  <si>
    <t>EL-020-10-10</t>
  </si>
  <si>
    <t>노정희
이단비</t>
  </si>
  <si>
    <t xml:space="preserve">회계기준 혹은 규제사항에 따라 재무정보가 작성 및 공시되지 않아 재무보고의 목적이 달성되지 않을 위험 </t>
    <phoneticPr fontId="4" type="noConversion"/>
  </si>
  <si>
    <t>회계기준 및 외부 규제 요구사항이 회사 회계정책에 적시에 반영된다.</t>
    <phoneticPr fontId="4" type="noConversion"/>
  </si>
  <si>
    <t>회계정책 제정</t>
    <phoneticPr fontId="4" type="noConversion"/>
  </si>
  <si>
    <t>회계기준과 관련 규제사항에 따라 재무정보를 작성하여 신뢰성을 확보하고 중요한 왜곡표시가 발생하지 않도록 주요 계정과 공시사항에 대한 명확한 목적을 제시한다</t>
    <phoneticPr fontId="4" type="noConversion"/>
  </si>
  <si>
    <t>1. 회계관리 및 처리절차를 규정한 재경 업무기준를 제정하고 있다.
2. 경영지원팀은 회계정책서를 작성하여 적합한 회계기준을 준수하여 결산이 이루어지도록 하고 있다.</t>
    <phoneticPr fontId="4" type="noConversion"/>
  </si>
  <si>
    <t>재경 업무기준 등 회계 관련 규정 구비 후 문서명 등 업데이트가 필요합니다.</t>
    <phoneticPr fontId="4" type="noConversion"/>
  </si>
  <si>
    <t>재경업무기준, 그룹회계방침서</t>
    <phoneticPr fontId="4" type="noConversion"/>
  </si>
  <si>
    <t>1. 재경 업무기준과 그룹회계방침서가 제정되어 있는지 확인한다.</t>
    <phoneticPr fontId="4" type="noConversion"/>
  </si>
  <si>
    <t xml:space="preserve">본 통제활동에서 다루는 회계정책 제정는 거래의 연간 발생 빈도 및 중요도를 고려하여 주기를 A로 설정하였으며 통제 수행빈도는 해당 위험의 적시 예방 적발을 위해 적절하다고 판단됨. </t>
  </si>
  <si>
    <t xml:space="preserve">해당 통제와 관련한 중요한 위험인 [회계기준 혹은 규제사항에 따라 재무정보가 작성 및 공시되지 않아 재무보고의 목적이 달성되지 않을 위험  ]에 대해 완전히 고려되고 있음. </t>
  </si>
  <si>
    <t>회계 업무 규정의 제정</t>
    <phoneticPr fontId="4" type="noConversion"/>
  </si>
  <si>
    <t>[현황]
경영지원팀의 회계 업무와 관련한 규정이 구비되어 있지 아니함.
[잠재적위험]
회계관리 및 처리절차를 규정한 규정이 구비되지 않아 신뢰성 있는 재무정보를 작성하지 못할 가능성이 존재함.</t>
    <phoneticPr fontId="2" type="noConversion"/>
  </si>
  <si>
    <t>재무정보의 신뢰성을 확보하고 중요한 왜곡표시가 발생하지 않도록 다음 내용이 포함된 규정이 구비하여야 함.
- 경영지원팀 책임과 권한
- 업무 프로세스 및 절차
- 전표전결규정
- 기록</t>
    <phoneticPr fontId="2" type="noConversion"/>
  </si>
  <si>
    <t>EL-020</t>
    <phoneticPr fontId="4" type="noConversion"/>
  </si>
  <si>
    <t>EL-020-20</t>
  </si>
  <si>
    <t>EL-020-20-10</t>
  </si>
  <si>
    <t xml:space="preserve"> 회사의 사업 및 거래 성격의 실질이 재무제표에 적절히 반영되지 않고 재무보고와 관련된 위험평가가 적절히 수행되지 못할 위험.</t>
    <phoneticPr fontId="4" type="noConversion"/>
  </si>
  <si>
    <t>적합한 회계기준 및 위험평가 기준에 의해 회사의 사업 및 거래 성격의 실질이 재무제표에 적절히 반영되고 재무보고와 관련된 위험평가가 적절히 수행된다.</t>
    <phoneticPr fontId="4" type="noConversion"/>
  </si>
  <si>
    <t>위험평가 기준 수립</t>
    <phoneticPr fontId="4" type="noConversion"/>
  </si>
  <si>
    <t>적합한 회계기준에 의해 회사의 거래가 회계처리되며 재무보고요소를 고려한 위험평가가 수행된다.</t>
    <phoneticPr fontId="4" type="noConversion"/>
  </si>
  <si>
    <t>N/A</t>
    <phoneticPr fontId="4" type="noConversion"/>
  </si>
  <si>
    <t xml:space="preserve">1.  '내부회계관리규정'에 유의한 계정과목, 주석, 업무프로세스 및 시스템에서 중요한 왜곡표시가 발생할 위험을 식별 및 평가하고 대응하기 위한 절차 및 통제를 마련하기 위해 다음의 절차가 규정되어 있고 이에 따라 재경팀 담당자는 내부회계관리제도 평가계획을 수립한다.
1) '범위선정문서'('Scoping documents') 작성 시 허용가능한 위험수준과 재무 보고 요소의 범위를 결정하기 위해 다음의 양적·질적 요소를 고려하여 중요성을 결정하고 문서화함.
- 양적요소 (중요성금액): 직전 평가기간의 세전순이익 또는 당해 평가기간 예상 세전순이익의 일정 비율로 결정. 특정 평가기간의 중요성 금액 결정에 세전순이익이 비경상적이라고 판단되는 경우 총자산, 매출액으로 결정
- 질적요소 (특정계정의 왜곡표시 위험이 과소평가될 수 있는 가능성에 대해 정성적 평가): 계정과목 내 개별 거래의 복잡성 및 동질성, 추정이나 판단이 개입되는 회계처리 및 평가, 회계처리 및 보고의 복잡성 등, 우발채무의 발생가능성, 특수관계자와 유의적 거래의 존재 여부, 계정과목 성격의 변화 및 당기 금액 변화 정도, 비경상적인 거래 등, 관련 회계처리 기준의 변경, 법규 및 감독당국의 강조 사항, 주요한 외부환경의 변화가 존재하는 계정
</t>
    <phoneticPr fontId="4" type="noConversion"/>
  </si>
  <si>
    <t>내부회계관리규정 및 업무지침, 범위선정문서</t>
    <phoneticPr fontId="4" type="noConversion"/>
  </si>
  <si>
    <t>【문서검사】
1. 위험 식별, 평가 및 대응 절차 수립 등 내부회계관리제도 설계 및 운영 평가 계획이 '내부회계관리규정 및 운영지침'에 따라 운영되고 있는지 확인한다.
1) '내부회계관리규정 및 업무지침'에 위험평가를 위해 다음의 절차가 규정되어 있는지 확인한다.
- 양적·질적 위험 평가 요소 명시
- 위험평가 절차와 기준 명시
- 위험결과에 따른 대응방안을 수립하는 절차 명시
2. "범위선정 문서(IT시스템 포함)"에 다음의 절차가 포함되었는지 확인한다.
1) 다음과 같은 양적/질적 요소를 고려하여 중요성을 결정하고 문서화하였는지 확인한다.
   • 양적 요소 고려: 중요성 금액의 산출 기준 및 근거 명시  
   • 질적 요소 고려
   - 계정과목 내 개별 거래의 복잡성, 동질성
   - 추정이나 판단이 개입되는 회계처리 및 평가
   - 회계처리 및 보고의 복잡성
   - 우발채무의 발생가능성
   - 특수관계자와 유의적 거래의 존재 여부
   - 계정과목 성격의 변화 및 당기 금액 변화 정도,
   - 비경상적인 거래
   - 관련 회계처리 기준의 변경, 
   - 법규 및 감독당국의 강조 사항
   - 주요한 외부환경의 변화가 존재하는 계정</t>
    <phoneticPr fontId="4" type="noConversion"/>
  </si>
  <si>
    <t xml:space="preserve">본 통제활동에서 다루는 위험평가 기준 수립는 거래의 연간 발생 빈도 및 중요도를 고려하여 주기를 A로 설정하였으며 통제 수행빈도는 해당 위험의 적시 예방 적발을 위해 적절하다고 판단됨. </t>
  </si>
  <si>
    <t xml:space="preserve">해당 통제와 관련한 중요한 위험인 [ 회사의 사업 및 거래 성격의 실질이 재무제표에 적절히 반영되지 않고 재무보고와 관련된 위험평가가 적절히 수행되지 못할 위험. ]에 대해 완전히 고려되고 있음. </t>
  </si>
  <si>
    <t>EL-020-30</t>
  </si>
  <si>
    <t>EL-020-30-10</t>
  </si>
  <si>
    <t>재무보고에 영향을 미치는 위험이 식별·분석·평가되고 허용가능한 수준으로 관리되지 않을 위험</t>
    <phoneticPr fontId="4" type="noConversion"/>
  </si>
  <si>
    <t>재무보고 신뢰성에 영향을 미치는 대내∙외 위험요인들이 적시에 식별·분석·평가되고 대응방안이  결정된다</t>
    <phoneticPr fontId="4" type="noConversion"/>
  </si>
  <si>
    <t>위험 식별·분석·평가 및 대응방안의 수립</t>
    <phoneticPr fontId="4" type="noConversion"/>
  </si>
  <si>
    <t>범위선정문서'를 통한 위험의 식별·분석·평가하고 대응방안을 수립하여 내부회계관리자와 감사에게 보고한다.</t>
    <phoneticPr fontId="4" type="noConversion"/>
  </si>
  <si>
    <t>다음의 절차를 통해 위험의 식별·분석·평가 및 대응방안을 결정한다.
1. 양적·질적 요소를 고려한 중요성을 기준으로 다음의 사항들을 식별한다.
- 유의한 계정과목과 연계된 경영진 주장
- 유의한 주석별 위험의 발생가능성을 확인
- 유의한 계정과목 및 주석과 연계된 유의한 업무프로세스 및 유의한 평가사업단위
- GITC Scoping
2. 경영지원팀 담당자는 식별된 유의한 계정과목등에 다음과 같은 사항을 고려하여 '고유위험'을 분석하고 평가한다.
- 회계처리의 복잡성
- 계정과목 등의 금액을 결정하는데 필요한 판단의 정도
- 부정 발생의 가능성
- 계정과목 등을 구성하는 거래의 성격 또는 규모의 변화 정도
- 기술적, 경제적 발전과 같은 환경적 변화에 대한 민감도
3. 경영지원팀 담당자는 내부회계관리제도 평가 계획 시 다음을 고려하여 계획을 수립하고 내부회계관리자의 승인 후 감사에 보고한다.
- 신규 통제 설계, 운영 효과성 평가 샘플 수, 중간평가(Interim) 및 기말평가(Rollforward) 일정 등
- 중요한 재무제표 요소가 왜곡표시될 위험의 충분한 고려
- 허용 가능한 수준 이하로 위험이 감소되었는지를 평가
- 외부 재무보고 목적과 관련된 위험만 고려하거나 다른 종류의 위험을 종합적으로 고려
- 결정한 위험 대응 방안들이 어떻게 상호작용하여 위험을 수용 가능한 수준으로 감소시키는지 고려
4. 내부회계관리자 및 감사는 유의한 계정과목 및 주석 사항 관련 위험평가 결과를 기초로 평가계획을 검토하며, 다음 사항을 고려하여 평가결과와 대응방안을 감독한다.
- 대내외 요인 변화 및 각 요소를 고려한 위험평가 결과 내용
- 관련 대응조치 수립 (내부회계관리제도 기본방침 반영)
- 다양한 기업활동 고려
- 부정위험 발생가능성
5. 내부회계관리자는 기중 기업활동에 내·외부 요인의 변화로 인해 식별된 위험의 평가 결과가 계획시 설정된 위험평가 결과와 차이가 발생한 경우 운영평가 범위 및 절차 변경을 고려하여 대응 방안을 재수립한다.</t>
    <phoneticPr fontId="4" type="noConversion"/>
  </si>
  <si>
    <t>내부회계관리제도 평가계획, 범위선정문서, 부정위험평가표, 변화관리보고서</t>
    <phoneticPr fontId="4" type="noConversion"/>
  </si>
  <si>
    <t>【문서검사】
1. 범위선정문서 상  유의한 계정 및 주석사항과 이에 관련된 업무 프로세스 및 사업 단위(평가대상조직), 정보 기술 시스템(IT system) 식별 여부를 확인한다.
 2. '내부통제기술서(RCM: Risk &amp; Control Matrix)'에 식별된 고유 위험의 중요도와 그 발생 가능성에 따라 위험을 분석하고 평가하는 절차가 이루어지는지 확인한다.
3. '내부회계관리제도 평가계획'에 다음의 내용이 포함되어 있는지 확인한다.
- 신규 통제 설계, 운영 효과성 평가 샘플 수, 중간평가(Interim) 및 기말평가(Rollforward) 일정 등
4. 내부회계관리자 및 감사에 보고된 '범위선정문서','부정위험평가표' 및 '내부회계관리제도 평가계획'이 다음의 사항이 검토되고 승인되었는지를 확인한다. 
- 유의한 계정과목 및 주석 사항 관련 위험평가
- 대내외 요인 변화 및 요구사항의 위험평가 과정
- 회사 구성원과의 논의를 통한 다양한 기업활동
- 부정위험이 발생할 가능성
5. 기업활동에 내·외부 요인의 변화에 따른 절차가 규정에 따라 수행되었는지 확인한다.(변화관리보고서)</t>
    <phoneticPr fontId="4" type="noConversion"/>
  </si>
  <si>
    <t xml:space="preserve">본 통제활동에서 다루는 위험 식별·분석·평가 및 대응방안의 수립는 거래의 연간 발생 빈도 및 중요도를 고려하여 주기를 A로 설정하였으며 통제 수행빈도는 해당 위험의 적시 예방 적발을 위해 적절하다고 판단됨. </t>
  </si>
  <si>
    <t xml:space="preserve">해당 통제와 관련한 중요한 위험인 [재무보고에 영향을 미치는 위험이 식별·분석·평가되고 허용가능한 수준으로 관리되지 않을 위험 ]에 대해 완전히 고려되고 있음. </t>
  </si>
  <si>
    <t>EL-020-40</t>
  </si>
  <si>
    <t>EL-020-40-10</t>
  </si>
  <si>
    <t>부정 위협와 관련된 위험이 적시에 식별되고 조치되지 못할 가능성</t>
    <phoneticPr fontId="4" type="noConversion"/>
  </si>
  <si>
    <t>부정 위험 발생을 예방하고 발생된 위험을 적시에 조치한다.</t>
    <phoneticPr fontId="4" type="noConversion"/>
  </si>
  <si>
    <t xml:space="preserve">부정위험 평가
</t>
    <phoneticPr fontId="4" type="noConversion"/>
  </si>
  <si>
    <t>다양한 요인에 따른 부정 위험의 식별, 분석 및 평가하는 절차를 수립하고 규정에 따라 주기적으로 검토한다.</t>
    <phoneticPr fontId="4" type="noConversion"/>
  </si>
  <si>
    <t>1. 경영지원팀은 내부회계관리제도 위험평가 시 다음의 사항을 포함한 '부정위험평가표'를 작성하고 부정위험 요인을 고려한다.
- 부정에 의한 영향액 
- 부정실행의 가능성
- 부정발견의 난이도
2.  '범위선정문서' 및 '부정위험평가표'를 포함한 내부회계관리제도 평가계획은 내부회계관리자의 승인 후 감사에 보고한다.
3. '부정위험평가표'는 대표이사 및 감사에게 보고되고, 부정수준이 가장 높은 3개 항목에 대해서는 대응조치 계획을 수립하고 이행결과를 보고한다.</t>
    <phoneticPr fontId="4" type="noConversion"/>
  </si>
  <si>
    <t>내부회계관리제도 평가계획</t>
    <phoneticPr fontId="4" type="noConversion"/>
  </si>
  <si>
    <t>【문서검사】
1. '내부회계관리규정및 업무지침'을 제/개정하여 부정위험을 식별하는 절차등을 규정하고 운영하고 있는지 확인한다.
2. '부정위험평가표'에서 다음 사항의 검토여부를 확인한다.
- 부정에 의한 영향액 
- 부정실행의 가능성
- 부정발견의 난이도
3. '범위선정 문서'와 '부정위험평가표'를 포함한 내부회계관리제도 평가계획이 내부회계관리자의 승인을 받고 감사에 보고되었는지 여부를 확인한다.
4. '내부회계관리제도 평가계획'과 '부정위험평가표' 평가결과에 대한 대응조치 및 이행결과가 감사에게 보고되고 검토되었는지 확인한다.</t>
    <phoneticPr fontId="4" type="noConversion"/>
  </si>
  <si>
    <t xml:space="preserve">본 통제활동에서 다루는 부정위험 평가
는 거래의 연간 발생 빈도 및 중요도를 고려하여 주기를 A로 설정하였으며 통제 수행빈도는 해당 위험의 적시 예방 적발을 위해 적절하다고 판단됨. </t>
  </si>
  <si>
    <t xml:space="preserve">해당 통제와 관련한 중요한 위험인 [부정 위협와 관련된 위험이 적시에 식별되고 조치되지 못할 가능성 ]에 대해 완전히 고려되고 있음. </t>
  </si>
  <si>
    <t>EL-020-50</t>
  </si>
  <si>
    <t>EL-020-50-10</t>
  </si>
  <si>
    <t>변화관리체계의 부재로 내부회계관리제도에 중요한 영향을 미칠수 있는 변화를 식별하지 못할 위험.</t>
    <phoneticPr fontId="4" type="noConversion"/>
  </si>
  <si>
    <t>변화관리 프로세스를 통해 재무보고 및 내부회계 관련 중대한 대내∙외 변화가 적시에 식별된다.</t>
    <phoneticPr fontId="4" type="noConversion"/>
  </si>
  <si>
    <t>변화관리체계 수립 및 운영</t>
    <phoneticPr fontId="4" type="noConversion"/>
  </si>
  <si>
    <t xml:space="preserve">내부회계관리제도에 중요한 영향을 미칠수 있는 변화를 식별·분석하는 변화관리체계를 수립하고 절차에 따라 수행하여 내부회계관리제도를 유효하게 유지·관리한다.
</t>
    <phoneticPr fontId="4" type="noConversion"/>
  </si>
  <si>
    <t>1. '내부회계관리업무지침(변화관리체계)'에 중요한 변화 사항의 정의 및 식별·분석·평가·대응하는 절차와 변화관리체계에서의 책임부서 및 책임자별 역할을 문서화한다.
- 대내외 변화사항 식별 및 보고(by 각 현업부서)
- 내부변화사항(조직 및 인력의 변경, IT시스템을 포함한 업무프로세스의 변경, 사업모델의 급격한 변경, 관련 법령, 회계기준 등의 변경)
- 외부변화사항(법령 및 규정, 회계기준서 등의 제정 또는 개정, 규제환경의 변화 등
2. 각 보고대상 부서는 정기적으로 변화 사항 여부를 식별하고 “변화관리보고서”를 작성하여 내부회계관리자에게 보고한다.
3. 내부회계관리제도 전담부서는 식별된 변화에 대하여 다음의 절차에 따라 중요 변화 사항 대응절차를 수행한다.
1) 기존 통제절차의 적정성 검토
- 기존 파악된 위험과 새 위험의 비교
- 기존 통제목적이 변경된 환경에 적합한지 검토
- 기존 예방/적발 통제가 변화된 환경에서 유효할 수 있는지 검토
2) 기존 통제절차의 적정성 검토를 기반으로 변화된 위험에 따른 통제활동의 수정 및 신설
- 통제활동의 해당 통제 관련 프로세스 정의  
- 통제목적, 통제위험, 통제빈도의 재정의
- 통제유형의 구분 (예방·적발, 수동·자동)
4 내부회계관리제도 설계 및 운영 평가 시 변화사항을 해당 업무를 처리하는 부서에서 수행하고, 주요 변화사항 및 설계 및 운영 평가 결과는 내부회계관리자에게 보고하여 승인을 받고 대표이사 및 감사에 보고한다.</t>
    <phoneticPr fontId="4" type="noConversion"/>
  </si>
  <si>
    <t>내부회계관리규정 및 업무지침
/변화관리보고서</t>
    <phoneticPr fontId="4" type="noConversion"/>
  </si>
  <si>
    <t>【문서검사】
1. 중요한 변화 사항의 식별과 이에 따라 발생하는 위험의 평가 및 대응절차를 확인한다.
- '내부회계관리규정 및 업무지침'에서 다음의 사항을 확인한다.
 1) 중요한 변화사항의 정의
 2) 책임 부서 및 책임자별 역할 및 책임
 3) 중요한 변화사항의 식별·분석·평가·대응하는 절차의 문서화
 4) 중요한 변화사항을 평가 및 감독할 수 있도록 보고체계 수립
- '변화관리보고서'를 샘플링 기준에 따라 샘플링한 후 다음 사항을 확인한다.
 1) 현업부서별로 식별한 중요한 변화 사항에 대한 위험의 식별 및 평가하고 내부회계관리 전담부서에 보고하였는지 여부
 2) 내부회계 전담부서가 보고받은 중요한 변화사항과 관련하여 대응 방안의 적정성을 검토하였는지 여부
 3) 기존 통제절차의 적정성 검토를 기반으로 변화된 위험에 따른 통제활동의 수정 및 신설 여부
 4) 중요한 변화사항 및 대응방안에 대해 내부회계관리자 및 감사에 보고되었는지 여부</t>
    <phoneticPr fontId="4" type="noConversion"/>
  </si>
  <si>
    <t xml:space="preserve">본 통제활동에서 다루는 변화관리체계 수립 및 운영는 거래의 연간 발생 빈도 및 중요도를 고려하여 주기를 A로 설정하였으며 통제 수행빈도는 해당 위험의 적시 예방 적발을 위해 적절하다고 판단됨. </t>
  </si>
  <si>
    <t xml:space="preserve">해당 통제와 관련한 중요한 위험인 [변화관리체계의 부재로 내부회계관리제도에 중요한 영향을 미칠수 있는 변화를 식별하지 못할 위험. ]에 대해 완전히 고려되고 있음. </t>
  </si>
  <si>
    <t>EL-030</t>
    <phoneticPr fontId="4" type="noConversion"/>
  </si>
  <si>
    <t>통제활동</t>
  </si>
  <si>
    <t>EL-030-10</t>
  </si>
  <si>
    <t>EL-030-10-10</t>
  </si>
  <si>
    <t>부적정한 통제활동 설계로 위험을 수용가능한 수준으로 줄일 수 없을 위험</t>
    <phoneticPr fontId="4" type="noConversion"/>
  </si>
  <si>
    <t>재무제표의 중요한 계정의 경영자주장과 연계된 중요한 왜곡위험에 대응하는 통제활동이 설계, 운영된다.</t>
    <phoneticPr fontId="4" type="noConversion"/>
  </si>
  <si>
    <t>위험평가와 통합퇸 통제활동의 설계 및 구축</t>
    <phoneticPr fontId="4" type="noConversion"/>
  </si>
  <si>
    <t>식별된 위험을 수용가능한 수준으로 감소시키기 위한 절차를 문서화하고 위험에 대응하는 통제활동을 설계한다.</t>
    <phoneticPr fontId="4" type="noConversion"/>
  </si>
  <si>
    <t>1. 내부회계관리제도 설계 및 운영 평가를 위한 일련의 절차를 통해 다음의 문서화 및 절차를 수행하고 있다.
1) '범위선정문서' : 허용가능한 위험수준과 재무 보고 요소의 범위를 결정하기 위해 다음의 양적·질적 요소를 고려하여 중요성을 결정하고 유의한 계정 및 주석, 이와 관련된 유의한 프로세스와 평가부서를 식별함.
2) '통제기술서'(Risk Control Matrix) : 회사의 고유한 요인에 따라 발생하는 고유위험 및 통제위험을 식별 및 평가하고 허용가능한 수준으로 위험을 낮출 수 있는 대응방안을 식별하고 설계함.
3) 변화관리체계: 중요한 변화사항을 식별하고 평가하여 대응방안을 수립하는 절차를 수행함.
2 '통제기술서'(Risk Control Matrix)를 통해 위험과 통제활동을 연계하고 있다.
1) 거래수준 및 전사수준의 프로세스 분석을 통해 식별된 위험과 통제활동을 '통제기술서'에 문서화함
2) '통제기술서'는 다음과 같이 구성되어 있음
- 업무 프로세스
- '범위선정문서'와 연계된 계정과목 및 경영진 주장
- 식별된 고유위험 및 통제위험
- 통제 활동
- 통제 속성 정보(통제 수행 주기, 통제 유형, 통제 부서 등)</t>
    <phoneticPr fontId="4" type="noConversion"/>
  </si>
  <si>
    <t>범위선정문서, 통제기술서, MRC Overview</t>
    <phoneticPr fontId="4" type="noConversion"/>
  </si>
  <si>
    <t>【문서검사】
1. '범위선정문서', '통제기술서', '변화관리체계'가  문서화되어 있는지 확인한다.
2. '범위선정문서', '통제기술서'를 징구하여 다음을 포함한 재무제표 관련 위험을 식별하는 사항을 포함하였는지 확인한다.
- 각 계정의 전표가 기표되는 프로세스와 전표의 기초 정보의 확인
- 전표의 기초 거래가 시작되고 처리되는 프로세스 확인
- 각 프로세스의 정책 및 절차를 고려하여 발생할 수 있는 위험과 연계
- 위험은 계정별 경영자 주장 혹은 정보처리위험(완전성, 정확성, 유효성, 접근제한)을 고려
- 위험의 평가 결과를 고려한 통제 수준의 선택 및 설계
3. '범위선정문서'를 통해 유의한 계정과 연계된 경영자 주장, 관련 프로세스에 대한 고유위험에 대한 평가가 다음을 고려하여 이루어졌는지 확인한다.
- 계정과목의 위험이 평가기준에 따라 평가 되었는지 여부
- 위험평가를 기초로 한 평가계획의 내부회계관리자 검토 및 승인 여부
4. 당해 평가기간 '통제기술서'를 징구하여 '통제위험'을 평가였는지 확인한다.
- 통제의 유형(수동통제 또는 자동통제)과 수행빈도
- 통제의 복잡성
- 경영진의 권한남용으로 인한 통제 무시 위험
- 통제활동의 수행에 필요한 판단의 정도
- 통제를 수행하는 인력의 역량
- 통제를 수행하는 핵심 구성원의 변동
- 통제가 예방 또는 적발하고자 하는 왜곡표시의 성격과 중요성
- 통제가 다른 통제활동의 효과성에 의지하는 정도(예를 들어, 정보기술 일반통제)
- 과거 연도 통제 운영의 효과성 평가 결과
5. '통제기술서'를 징구하여, 통제활동이 아래와 같은 유형/수준을 조합하여 설계 및 문서화 되었는지 확인한다.
  • 검증, 검토, 승인, 물리적 통제, 대사 등 유형 설계
  • 자동통제와 수동통제 구분
  • 예방통제와 적발통제 구분
6.  'MRC Overview 문서'에서 샘플링 기준에 따라 샘플링한 후, 다음의 항목을 별도 고려하여 설계되었는지 확인한다.
  •  검토항목 설정: 중요 가정들의 적정성, 근거 자료의 신뢰성 및 적용된 각종 계산 방법의 적정성이나 올바른 계산결과 등 포함</t>
    <phoneticPr fontId="4" type="noConversion"/>
  </si>
  <si>
    <t xml:space="preserve">본 통제활동에서 다루는 위험평가와 통합퇸 통제활동의 설계 및 구축는 거래의 연간 발생 빈도 및 중요도를 고려하여 주기를 A로 설정하였으며 통제 수행빈도는 해당 위험의 적시 예방 적발을 위해 적절하다고 판단됨. </t>
  </si>
  <si>
    <t xml:space="preserve">해당 통제와 관련한 중요한 위험인 [부적정한 통제활동 설계로 위험을 수용가능한 수준으로 줄일 수 없을 위험 ]에 대해 완전히 고려되고 있음. </t>
  </si>
  <si>
    <t>EL-030-20</t>
  </si>
  <si>
    <t>EL-030-20-10</t>
  </si>
  <si>
    <t>재무정보의 작성 및 공시에 중요한 영향을 미치는 외부서비스조직이 식별 및 평가되지 않아 회사의 재무보고 등에 왜곡표시가 발생할 위험</t>
    <phoneticPr fontId="4" type="noConversion"/>
  </si>
  <si>
    <t>재무보고 프로세스에 중요한 영향을 미치는 서비스 조직에 대한 통제가 효과적으로 설계, 운영, 평가 되어  재무보고의 왜곡을 방지한다.</t>
    <phoneticPr fontId="4" type="noConversion"/>
  </si>
  <si>
    <t>외부서비스조직의 식별 및 평가</t>
    <phoneticPr fontId="4" type="noConversion"/>
  </si>
  <si>
    <t>재무정보의 작성 및 공시에 중요한 영향을 미치는 외부서비스조직을 식별 및 평가하고 중요한 왜곡표시를 방지하기 위한 통제활동을 수립한다.</t>
    <phoneticPr fontId="4" type="noConversion"/>
  </si>
  <si>
    <t>OSP List</t>
    <phoneticPr fontId="4" type="noConversion"/>
  </si>
  <si>
    <t>【문서검사】
1. 'OSP List'("서비스 조직 위험평가")를 징구하여 다음을 확인한다.
- 업무 프로세스 과정에서 식별한 외부서비스제공자의 업무제공과 관련한 계정 및 거래 유형, 계정, 공시사항 등이 식별되어 있는지 여부
- 외부서비스제공자에 대하여 중요도를 결정할 시에 고려하는 사항들이 정의되어 있는지 여부
2 'OSP List'에서 샘플링 가이드에 따라 샘플링 후 (중요성이 Higher, Not Higher 로 선정된 아웃소싱 서비스 조직 고려) 다음을 확인한다.
- 외부서비스제공자의 중요도 평가 결과에 따라 요구되는 통제활동 여부</t>
    <phoneticPr fontId="4" type="noConversion"/>
  </si>
  <si>
    <t xml:space="preserve">본 통제활동에서 다루는 외부서비스조직의 식별 및 평가는 거래의 연간 발생 빈도 및 중요도를 고려하여 주기를 A로 설정하였으며 통제 수행빈도는 해당 위험의 적시 예방 적발을 위해 적절하다고 판단됨. </t>
  </si>
  <si>
    <t xml:space="preserve">해당 통제와 관련한 중요한 위험인 [재무정보의 작성 및 공시에 중요한 영향을 미치는 외부서비스조직이 식별 및 평가되지 않아 회사의 재무보고 등에 왜곡표시가 발생할 위험 ]에 대해 완전히 고려되고 있음. </t>
  </si>
  <si>
    <t>EL-030</t>
    <phoneticPr fontId="4" type="noConversion"/>
  </si>
  <si>
    <t>EL-030-30</t>
  </si>
  <si>
    <t>EL-030-30-10</t>
  </si>
  <si>
    <t>중요한 재무정보의 작성 및 공시에 대한 업무분장 및 접근제한 기준이 수립되지 않아 재무보고에 오류가 발생할 위험</t>
    <phoneticPr fontId="4" type="noConversion"/>
  </si>
  <si>
    <t>중요한 업무에 대한 업무분장 및 접근제한이 이루어져 부정 또는 재무제표의 오류 발생을 방지한다.</t>
    <phoneticPr fontId="4" type="noConversion"/>
  </si>
  <si>
    <t>업무분장 기준 수립 및 주기적 모니터링</t>
    <phoneticPr fontId="4" type="noConversion"/>
  </si>
  <si>
    <t>업무분장 및 접근제한 기준을 수립하고 주기적으로 재검토하여 재무보고에 오류가 발생할 위험을 방지한다.</t>
    <phoneticPr fontId="4" type="noConversion"/>
  </si>
  <si>
    <t>1. 내부회계관리제도의 효과적인 통제절차를 설계, 운영함에 있어 필요한 직무분리(“Segregation of Duties: SOD”)를 위해 매년 SOD Checklist를 작성하고 있다.
2. SOD Checklist는 각 프로세스별로 직무분리의 목적 및 직무분리가 되지 않았을 경우의 리스크가 정의되어 있다.
3. 경영지원팀에서는 SOD Checklist에 따라 각 프로세스별 분리상황을 점검하고 직무분리가 유효하지 않은 경우에는 보완 통제가 구비되어 있는지 검토함.</t>
    <phoneticPr fontId="4" type="noConversion"/>
  </si>
  <si>
    <t>SoD List</t>
    <phoneticPr fontId="4" type="noConversion"/>
  </si>
  <si>
    <t>【문서검사】
1. '내부회계관리규정 및 업무지침', '부서별 업무분장'에 업무분장 기준, 재무정보를 작성 및 공시 하는 임직원의 역할과 책임 등이 문서화되어 있는지 확인한다
2. 경영지원팀에서 작성한 'SOD list에 직무분리가 이루어지지 않은 건이 식별되었는지, 식별된 경우 권한 회수 또는 보안통제가 고려되었는지 확인한다.
3. 경영지원팀은 각 운영부서에서 보고한 '변화관리보고서' 중 변경사항이 프로세스 및 시스템에 미치는 영향 검토와 필요한 경우 'SOD list'를 업데이트하였는지 확인한다.</t>
    <phoneticPr fontId="4" type="noConversion"/>
  </si>
  <si>
    <t xml:space="preserve">본 통제활동에서 다루는 업무분장 기준 수립 및 주기적 모니터링는 거래의 연간 발생 빈도 및 중요도를 고려하여 주기를 A로 설정하였으며 통제 수행빈도는 해당 위험의 적시 예방 적발을 위해 적절하다고 판단됨. </t>
  </si>
  <si>
    <t xml:space="preserve">해당 통제와 관련한 중요한 위험인 [중요한 재무정보의 작성 및 공시에 대한 업무분장 및 접근제한 기준이 수립되지 않아 재무보고에 오류가 발생할 위험 ]에 대해 완전히 고려되고 있음. </t>
  </si>
  <si>
    <t>EL-030-40</t>
  </si>
  <si>
    <t>EL-030-40-10</t>
  </si>
  <si>
    <t>재무정보를 작성 및 공시를 지원하는 IT를 식별하지 않아 재무보고에 오류가 발생할 위험</t>
    <phoneticPr fontId="4" type="noConversion"/>
  </si>
  <si>
    <t>재무적으로 중요한 프로세스를 지원하는 응용 프로그램, 데이터베이스, 운영 체제 및 네트워크에 대한 일반통제 절차가 수립되어 정보기술에 의존한 거래의 신뢰성 확보와 재무제표의 오류를 방지한다.</t>
    <phoneticPr fontId="4" type="noConversion"/>
  </si>
  <si>
    <t xml:space="preserve">재무정보의 작성 및 공시와 관련된 IT의 식별
</t>
    <phoneticPr fontId="4" type="noConversion"/>
  </si>
  <si>
    <t>재무정보의 작성 및 공시를 지원하는 IT를 식별하고 재무보고와 관련된 정보기술 일반통제 절차가 문서화되고 이에 따라 운영한다.</t>
    <phoneticPr fontId="4" type="noConversion"/>
  </si>
  <si>
    <t>1. 업무 프로세스 자동통제와 정보기술 일반통제간의 의존성과 연관성을 이해하고 결정하기 위한 다음의 절차에 따라 운영하고 있다.
(1) '범위선정 문서(GITC Scoping)'에서 유의한 계정과목과 프로세스의 통제활동과 관련된 IT를 식별하고 '통제기술서(GITC)'에서 연관 항목(자동통제여부, IPE문서, 보안, 인터페이스 등)을 정의한 후, IT 연관 항목이 적정하게 작동하기 위해 필요한 정보기술 일반통제의 각 항목(개발(구입), 운영, 유지, 변경, 보안)별로 통제를 설계 및 운영함.
(2) '통제기술서(GITC)'에 재무정보의 작성 및 공시와 관련된 Operating System, Application, DataBase, Network에 대한 정보기술 일반통제 절차가 문서화되고 이에 따라 운영하고 있음.</t>
    <phoneticPr fontId="4" type="noConversion"/>
  </si>
  <si>
    <t>범위선정문서</t>
    <phoneticPr fontId="4" type="noConversion"/>
  </si>
  <si>
    <t>【문서검사】
1. '범위선정문서'(GITC Scoping)에 유의한 계정과목과 프로세스에 관련 System Application이 식별되고 이에 대한 정보기술 일반통제 활동 및 절차가 구비되어 있는지 통제기술서(GITC)를 확인한다
2. '통제기술서(GITC)'에 재무 정보의 작성 및 공시와 관련된 Operating System, Application, DataBase, Network에 대한 정보기술 일반통제 절차가 문서화되고 이에 따라 운용되는지 확인한다. (GITC RCM 및 통제절차 참고)</t>
    <phoneticPr fontId="4" type="noConversion"/>
  </si>
  <si>
    <t xml:space="preserve">본 통제활동에서 다루는 재무정보의 작성 및 공시와 관련된 IT의 식별
는 거래의 연간 발생 빈도 및 중요도를 고려하여 주기를 A로 설정하였으며 통제 수행빈도는 해당 위험의 적시 예방 적발을 위해 적절하다고 판단됨. </t>
  </si>
  <si>
    <t xml:space="preserve">해당 통제와 관련한 중요한 위험인 [재무정보를 작성 및 공시를 지원하는 IT를 식별하지 않아 재무보고에 오류가 발생할 위험 ]에 대해 완전히 고려되고 있음. </t>
  </si>
  <si>
    <t>EL-030-50</t>
  </si>
  <si>
    <t>EL-030-50-10</t>
  </si>
  <si>
    <t>최종사용자컴퓨팅(EUC)에 대한 식별 및 평가 절차의 미비로 재무보고에 오류가 발생할 위험</t>
    <phoneticPr fontId="4" type="noConversion"/>
  </si>
  <si>
    <t>최종 사용자 컴퓨팅을 통해 이루어 지는 거래 및 데이터 처리의 완전성, 정확성 및 유효성을 지원하기 위한 절차가 수립되어 정보기술에 의존한 거래의 신뢰성 확보와 재무제표의 오류를 방지한다.</t>
    <phoneticPr fontId="4" type="noConversion"/>
  </si>
  <si>
    <t xml:space="preserve">최종사용자컴퓨팅(EUC)의 식별, 평가 및 통제
</t>
    <phoneticPr fontId="4" type="noConversion"/>
  </si>
  <si>
    <t>재무정보의 작성 및 공시와 관련된 최종사용자컴퓨팅을 식별하고 중요도를 평가하는 절차를 문서화하고 기준에 따라 통제절차를 설계 및 운영한다.</t>
    <phoneticPr fontId="4" type="noConversion"/>
  </si>
  <si>
    <t xml:space="preserve">다음과 같은 '최종사용자 컴퓨팅'(End User Ccomputing, 이하 EUC)에 관한 절차를 수립, 운영하고 있다.
1. ''내부회계관리지침'에 EUC로 관리될 대상과 관련 업무 조직의 역할 및 책임 등에 대해 문서화한다.
2.  ''내부회계관리 운영지침'에 따라 각 운영부서는 주기적으로 EUC 파일의 생성, 변경 등의 상황을 식별하고 재무정보의 작성 및 공시에 미치는 중요도(위험)을 다음과 같이 평가한 후 'EUC List'에 문서화한다.(신규 발생의 경우 부서장의 승인이 필요함)
- 스프레드시트에 대한 변경 및 수정의 빈도와 정도
- 스프레드시트의 Input data의 복잡성
- 스프레드시트 사용자 수
- 스프레드시트의 목적과 용도
- 스프레드시트에 포함된 계산의 복잡성
3. ''내부회계관리지침'에 EUC 위험평가에 따른 중요도(위험등급)을 구분하고 위험 등급에 따라 다음과 같은 통제 절차를 운영한다.
- 보안 관리(Security): 세부 통제 내용으로 i)업무분장, ii) 백업, iii) 접근통제(암호설정, 셀보호 등) 
- 정확성 관리(Accuracy): 세부 통제 내용으로 i)로직 검사, ii) 분석적 검토, iii) 입력통제 
- 변경 관리(Change): 세부 통제 내용으로 i)문서화, ii) 버젼 관리, iii) Archiving, iv) 변경 승인 및 테스트
4. 정기적인 내부회계 운영평가 시 각 운영부서는 경영지원팀에 당해 양식을 제출한다.
</t>
    <phoneticPr fontId="4" type="noConversion"/>
  </si>
  <si>
    <t>EUC List</t>
    <phoneticPr fontId="4" type="noConversion"/>
  </si>
  <si>
    <t xml:space="preserve">【문서검사】
1. '내부회계관리규정 및 업무지침'에 최종 사용자 컴퓨팅에 관련한 대상 및 절차등을 문서화하였는지 확인한다.
- 정의 및 관리대상
- 운영 부서 및 통제 부서의 역할 및 책임
- 업무절차
2. 내부회계 전담조직에 제출된 'EUC List'에서 샘플링 기준에 따라 샘플링 후 다음을 확인한다.
- 기존 EUC 및 신규 EUC에 대한 중요도(위험)를 평가하였는지 여부
- 통제 수준이 기준에 따라 위험평가에 기반하여 구분되어 설계되었는지 여부
</t>
    <phoneticPr fontId="4" type="noConversion"/>
  </si>
  <si>
    <t xml:space="preserve">본 통제활동에서 다루는 최종사용자컴퓨팅(EUC)의 식별, 평가 및 통제
는 거래의 연간 발생 빈도 및 중요도를 고려하여 주기를 A로 설정하였으며 통제 수행빈도는 해당 위험의 적시 예방 적발을 위해 적절하다고 판단됨. </t>
  </si>
  <si>
    <t xml:space="preserve">해당 통제와 관련한 중요한 위험인 [최종사용자컴퓨팅(EUC)에 대한 식별 및 평가 절차의 미비로 재무보고에 오류가 발생할 위험 ]에 대해 완전히 고려되고 있음. </t>
  </si>
  <si>
    <t>EL-030-60</t>
  </si>
  <si>
    <t>EL-030-60-10</t>
  </si>
  <si>
    <t>노정희
유헌종</t>
  </si>
  <si>
    <t>재무정보의 작성 및 공시 프로세스를 지원하는 IT에 대한 접근제한과 업무분장에 대한 정책 및 절차가 수립되지 않아 재무보고에 왜곡표시 혹은 오류가 발생할 위험</t>
    <phoneticPr fontId="4" type="noConversion"/>
  </si>
  <si>
    <t>재무적으로 중요한 프로세스를 지원하는 응용 프로그램, 데이터베이스, 운영 체제 및 네트워크에 대한 접근제한과 업무분장이 이루어져 거래의 신뢰성 확보와 재무제표의 오류를 방지한다.</t>
    <phoneticPr fontId="4" type="noConversion"/>
  </si>
  <si>
    <t xml:space="preserve">접근제한 및 업무분장에 대한 정책 및 절차의 수립
</t>
    <phoneticPr fontId="4" type="noConversion"/>
  </si>
  <si>
    <t>재무정보의 작성 및 공시 프로세스를 지원하는 IT정보시스템은 업무분장 및 접근제한 정책에 따라 설계와 운영되고 주기적으로 검토된다.</t>
    <phoneticPr fontId="4" type="noConversion"/>
  </si>
  <si>
    <t xml:space="preserve">1. 정보기술 일반통제를 통하여 재무적으로 유의한 프로세스를 지원하는 Operating System, Application, DataBase, Network에 회사의 정책 및 절차에 따라 다음의 내용을 포함하는 접근제한과 업무분장에 관한 정책 및 절차를 구비하고 있다.
- 재무적으로 중요한 기능이나 데이터에 대한 접근제한 정의
- 보안관리 프로세스 관련 통제활동 수립시 이러한 접근제한과 업무분장 고려
- 권한관리절차, 사용자 및 시스템 인증절차, 암호설정 등
- 시스템의 광범위한 접근권한을 보유하는 슈퍼유저 권한 사용으로 인한 위험 관리
- 업무분장 및 접근제한이 이루어지기 어려운 경우 보완통제 고려
2. IT일반통제를 통하여, 다음을 포함하는 보안 및 권한 절차를 구비하고 있다.
  • 재무적으로 중요한 접근제한과 업무분장이 적절히 준수되는지를 확인하는 주기적 모니터링 수행 (예: 과도하게 부적절한 로그인 등과 같은 문제를 포함한 문제보고서 (Problem report)의 주기적 검토 및 후속조치
  • 주기적 모니터링 결과에 따른 후속조치 수행
</t>
    <phoneticPr fontId="4" type="noConversion"/>
  </si>
  <si>
    <t>【문서검사】
1. 'IT일반통제 평가 결과'를 징구하여 해당 통제의 설계 및 운영 평가 과정에서 통제 미비점이 발견되었는지 확인한다.(GITC_RCM 참고)</t>
    <phoneticPr fontId="4" type="noConversion"/>
  </si>
  <si>
    <t xml:space="preserve">본 통제활동에서 다루는 접근제한 및 업무분장에 대한 정책 및 절차의 수립
는 거래의 연간 발생 빈도 및 중요도를 고려하여 주기를 A로 설정하였으며 통제 수행빈도는 해당 위험의 적시 예방 적발을 위해 적절하다고 판단됨. </t>
  </si>
  <si>
    <t xml:space="preserve">해당 통제와 관련한 중요한 위험인 [재무정보의 작성 및 공시 프로세스를 지원하는 IT에 대한 접근제한과 업무분장에 대한 정책 및 절차가 수립되지 않아 재무보고에 왜곡표시 혹은 오류가 발생할 위험 ]에 대해 완전히 고려되고 있음. </t>
  </si>
  <si>
    <t>EL-030-70</t>
  </si>
  <si>
    <t>EL-030-70-10</t>
  </si>
  <si>
    <t>재무정보의 작성 및 보고에 대한 정책과 절차의 부재로 내부회계관리제도가 적정하게 설계 및 운영되지 못할 위험</t>
    <phoneticPr fontId="4" type="noConversion"/>
  </si>
  <si>
    <t>정책과 절차의 적용을 통한 통제활동 수행에 있어 임직원의 역할과 책임이 명확하고 적시성 있는 통제수행 및 문제점의 개선조치가 이루어져 내부회계관리제도가 적정하게 운영된다.</t>
    <phoneticPr fontId="4" type="noConversion"/>
  </si>
  <si>
    <t xml:space="preserve">재무정보 작성 및 공시 정책 및 절차 수립
</t>
    <phoneticPr fontId="4" type="noConversion"/>
  </si>
  <si>
    <t>재무보고 및 내부통제 과정의 중요한 통제활동과 관련한 정책과 절차를 문서화하고 변화관리체계에 따라 모니터링한다.</t>
    <phoneticPr fontId="4" type="noConversion"/>
  </si>
  <si>
    <t>1. 재무보고 및 내부통제 과정의 중요한 통제활동과 관련된 재경 업무기준이 제정되어 있으며, 해당 규정은 그룹웨어에 게재되어 임직원에게 업무에 대한 명확한 기준을 제시하고 있음.
2. 내부회계관리규정 및 업무지침에서 규정하고 있는 다음과 같은 사항을 제시하기 위해 '범위선정문서', '통제기술서' 등의 문서를 통해 임직원과 공유하고 있다.
 • 외부 재무보고의 중요한 잠재적 왜곡표시 위험에 대한 정책과 절차
 • 정책과 절차가 적용되는 부서 및 프로세스
 • 정책과 절차의 최종 책임자와 생성, 구축, 실행, 유지관리 담당자의 역할과 책임
 • 통제활동 및 절차 수행이 필요한 시기
 • 통제활동 및 절차를 수행하는 담당자에게 요구되는 역량
3. '내부회계관리규정'에 따라 동 규정의 제·개정은 감사의 승인과 이사회결의로 효력이 발생한다.</t>
    <phoneticPr fontId="4" type="noConversion"/>
  </si>
  <si>
    <t>재경 업무기준 등 회계 관련 규정 구비 후 문서명 등 업데이트가 필요합니다.</t>
  </si>
  <si>
    <t>내부회계관리규정 및 업무지침, 재경업무기준, 범위선정문서, 통제기술서, 감사록 및 이사회의사록</t>
    <phoneticPr fontId="4" type="noConversion"/>
  </si>
  <si>
    <t>【문서검사】
'1. 재무보고 및 내부통제제도 설계 및 평가와 관련하여 '내부회계관리규정 및 업무지침', '재경업무기준'이 문서화되어 있는지 확인한다.
2. '범위선정문서', '통제기술서'에 다음과 같은 사항을 문서화하여 임직원들에게 공유하고 있는지 확인한다.
  • 외부 재무보고의 중요한 잠재적 왜곡표시 위험: 범위선정문서, 통제기술서
  • 정책과 절차가 적용되는 위치, 사업부와 부서 및 프로세스: 범위선정문서, 통제기술서
  • 정책과 절차의 최종 책임자와  생성, 구축, 실행, 유지관리 담당자와 해당인원의 역할과 책임 : 통제기술서
  • 통제활동 및 절차를 수행하는 담당자에게 요구되는 역량: 통제기술서
  • 통제활동 및 절차 수행이 필요한 시기: 통제기술서
3. EL-20-50-10 통제활동 '중요변화사항 참고'
4. '감사록' 및 '이사회의사록'에 제·개정 대한 승인 및 결의 여부를  확인한다.</t>
    <phoneticPr fontId="4" type="noConversion"/>
  </si>
  <si>
    <t xml:space="preserve">본 통제활동에서 다루는 재무정보 작성 및 공시 정책 및 절차 수립
는 거래의 연간 발생 빈도 및 중요도를 고려하여 주기를 A로 설정하였으며 통제 수행빈도는 해당 위험의 적시 예방 적발을 위해 적절하다고 판단됨. </t>
  </si>
  <si>
    <t xml:space="preserve">해당 통제와 관련한 중요한 위험인 [재무정보의 작성 및 보고에 대한 정책과 절차의 부재로 내부회계관리제도가 적정하게 설계 및 운영되지 못할 위험 ]에 대해 완전히 고려되고 있음. </t>
  </si>
  <si>
    <t>EL-040</t>
    <phoneticPr fontId="4" type="noConversion"/>
  </si>
  <si>
    <t>정보및의사소통</t>
  </si>
  <si>
    <t>EL-040-10</t>
  </si>
  <si>
    <t>EL-040-10-10</t>
  </si>
  <si>
    <t>내부회계관리제도의 설계 및 운영에 중요한 정보가 식별되지 않을 위험</t>
    <phoneticPr fontId="4" type="noConversion"/>
  </si>
  <si>
    <t>내부회계관리제도의 설계 및 운영에 중요한 영향을 미치는 정보를 적시에 식별하고 관리한다</t>
    <phoneticPr fontId="4" type="noConversion"/>
  </si>
  <si>
    <t>내부회계관리제도와 관련한 중요한 정보의 식별 및 관리</t>
    <phoneticPr fontId="4" type="noConversion"/>
  </si>
  <si>
    <t>내부회계관리제도의 설계 및 운영에 중요한 영향을 미치는 재무 및 비재무부문의 정보를 식별하고 관리한다.</t>
    <phoneticPr fontId="4" type="noConversion"/>
  </si>
  <si>
    <t>1. 통제기술서에 각 프로세스별로 내부통제 운영과 관련된 내/외부 데이터가 기술되어 있으며, 주요 통제활동에 사용되는 내부정보는 IUC List로 관리되고 있다.
2. IUC List를 통해 원천정보의 신뢰성, Report logic의 적정성, Input 항목의 정확성 관련 통제활동 설계의 신뢰성을 평가하고 있다.
3. 평가 결과 기존 통제기술서 상 관련 IUC 사항의 업데이트가 필요한 경우, IUC List를 업데이트하여 재경부에서 관리함.</t>
    <phoneticPr fontId="4" type="noConversion"/>
  </si>
  <si>
    <t>내부회계관리규정 및 업무지침, IUC List</t>
    <phoneticPr fontId="4" type="noConversion"/>
  </si>
  <si>
    <t xml:space="preserve">【문서검사】
1. '내부회계관리규정'의 '변화관리체계'에 따라 업무가 처리되고 있는지 확인한다.(EL-20-50-10 통제활동 참고)
2. 통제기술서에 각 프로세스별로 내부통제 운영과 관련된 내/외부 데이터기 기술되어 있으며, 주요 통제활동에 사용되는 내부정보는 IUC List로 관리되고 있는지 확인한다.
3. 재무보고와 관련된 주요 Data가 내부통제활동에 활용되는 경우 통제기술서 및 IUC list로 관리하고, IUC List에서 정보의 무결성과 유효성 평가가 수행되었는지 확인한다.
</t>
    <phoneticPr fontId="4" type="noConversion"/>
  </si>
  <si>
    <t xml:space="preserve">본 통제활동에서 다루는 내부회계관리제도와 관련한 중요한 정보의 식별 및 관리는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</si>
  <si>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[내부회계관리제도의 설계 및 운영에 중요한 정보가 식별되지 않을 위험 ]에 대해 완전히 고려되고 있음. </t>
  </si>
  <si>
    <t>EL-040-20</t>
  </si>
  <si>
    <t>EL-040-20-10</t>
  </si>
  <si>
    <t>회사 내부의 의사소통 절차가 미비하여 내부회계관리제도의 설계 및 운영에 중요한 영향을 미치는 변화사항과 위험이 적시에 식별되지 못할 위험</t>
    <phoneticPr fontId="4" type="noConversion"/>
  </si>
  <si>
    <t>내부회계관리제도 관련 대내 임직원 간 의사소통이 원활이 수행되어 변화 및 위험을 적시에 식별한다.</t>
    <phoneticPr fontId="4" type="noConversion"/>
  </si>
  <si>
    <t>내부구성원 간의 의사소통 절차의 수립 및 운영</t>
    <phoneticPr fontId="4" type="noConversion"/>
  </si>
  <si>
    <t>내부회계관리제도와 관련한 내부구성원간의 의사소통 절차를 수립하고 운영한다.</t>
    <phoneticPr fontId="4" type="noConversion"/>
  </si>
  <si>
    <t>1. 내부회계관리제도와 관련된 조직의 구성과 각 조직별 책임과 역할에 대해 내부회계관리규정 및 업무지침에 정의하고, 그룹웨어에 게재해서 모든 임직원이 확인할 수 있도록 하고 있다. 
2. 내부회계관리제도의 다음과 같은 주요한 문서를 공유하여 각 담당자별 업무 대상을 명확하게 정의하고 있다.
- 내부회계관리규정 및 업무지침
- 범위선정문서
- 통제기술서
- 각 프로세스별 통제수행자 및 통제책임자 리스트
3. '내부회계관리규정 및 업무지침'에 경영진과 이사회 간의 의사소통을 규정하고 있다.
- 대표이사 또는 내부회계관리자는 주주총회, 이사회 및 감사에 회사의 내부회계관리제도의 운영실태를 보고
- 감사는 내부회계관리제도의 운영실태를 평가하여 이사회에 보고
- 경영진은 내부회계관리제도의 주요 변경사항, 평가 결과, 확인된 재무보고 관련 이슈, 이와 관련된 내부회계관리제도 미비점 및 조치사항에 대해 이사회 및 감사와 의사소통
4. 정보를 명확하고 효과적으로 전달하기 위한 다음의 의사소통 방법을 선택하고 운영한다.
- '윤리헌장', '내부회계관리규정 및 업무지침'에 대한 정기적 교육
- 익명 제보가 가능한 사이버신문고 제도 운영</t>
    <phoneticPr fontId="4" type="noConversion"/>
  </si>
  <si>
    <t>이사회의사록, 감사록, 연간교육계획</t>
    <phoneticPr fontId="4" type="noConversion"/>
  </si>
  <si>
    <t xml:space="preserve">【문서검사】
1. 홈페이지 및 그룹웨어에 다음과 같은 항목들에 대해 주요 책임자들이 쉽게 접근가능한지 확인한다.
- 윤리헌장
- 내부회계관리규정 및 업무지침, 감사직무규정
- 통제기술서
- 내부회계관리제도 설계 및 운영 평가 결과
2. 경영진과 이사회간의 의사소통을 위한 지침 수립
1)  '내부회계관리규정'에 다음의 사항이 규정되어 있고 '이사회의사록' 및 감사록'을 통해 지침에 따라 운영되고 있는지 확인한다.
- 대표이사 또는 내부회계관리자는 주주총회, 이사회 및 감사에 회사의 내부회계관리제도의 운영실태를 보고
- 감사는 내부회계관리제도의 운영실태를 평가하여 이사회에 보고
- 경영진은 내부회계관리제도의 주요 변경사항, 평가 결과, 확인된 재무보고 관련 이슈, 이와 관련된 내부회계관리제도 미비점 및 조치사항에 대해 이사회 및 감사와 의사소통
2)  '이사회규정' 및 '감사직무규정'에 따라 다음의 사항이 규정되어 있고 '이사회의사록' 및 감사록'에 규정에 따라 운영되고 있는지 확인한다.
- 대표이사, 최고재무책임자는 재무제표를 이사회 및 감사에 제시하고, 다음의 사항을 포함하여 의사소통 수행
   · 직전 보고 이후 중요한 사건
   · 중요한 추정이나 가정의 변경사항
   · 중요한 신규 주석사항
3. '연간교육계획', '사이버신문고제도'를 통해 다음의 사항들이 포함되어 있는지 확인한다.
  • 윤리규범 및 내부회계관리제도에 대한 정기적 교육
  • 외부 및 내부에서 익명 제보가 가능한 사이버신문고 제도의 운영
</t>
    <phoneticPr fontId="4" type="noConversion"/>
  </si>
  <si>
    <t xml:space="preserve">본 통제활동에서 다루는 내부구성원 간의 의사소통 절차의 수립 및 운영는 거래의 연간 발생 빈도 및 중요도를 고려하여 주기를 A로 설정하였으며 통제 수행빈도는 해당 위험의 적시 예방 적발을 위해 적절하다고 판단됨. </t>
  </si>
  <si>
    <t xml:space="preserve">해당 통제와 관련한 중요한 위험인 [회사 내부의 의사소통 절차가 미비하여 내부회계관리제도의 설계 및 운영에 중요한 영향을 미치는 변화사항과 위험이 적시에 식별되지 못할 위험 ]에 대해 완전히 고려되고 있음. </t>
  </si>
  <si>
    <t>EL-040-30</t>
  </si>
  <si>
    <t>EL-040-30-10</t>
  </si>
  <si>
    <t>비윤리적 행위 및 내부회계관리제도의 위반사항을 적시에 식별하지 못하여 재무보고가 왜곡될 위험</t>
    <phoneticPr fontId="4" type="noConversion"/>
  </si>
  <si>
    <t>비윤리적 행위, 규정/내부통제 위반사항 등으로 발생할 수 있는 재무보고 및 내부회계 관련 위험이 적절히 식별된다.</t>
    <phoneticPr fontId="4" type="noConversion"/>
  </si>
  <si>
    <t>내부고발제도 절차 수립 및 운영</t>
    <phoneticPr fontId="4" type="noConversion"/>
  </si>
  <si>
    <t>비윤리적 행위와 내부회계관리제도의 우회 등 위반 사항을 식별 및 적발 할 수 있는 절차를 수립하고 운영·감독한다.</t>
    <phoneticPr fontId="4" type="noConversion"/>
  </si>
  <si>
    <t>1. 홈페이지에 사이버신문고제도를 운영하고 있으며, 임직원 및 외부 이해관계자가 익명으로 이용할 수 있도록 하고 있다. 홈페이지의 사이버신문고에서는 부당한 업무처리 사례, 제보자 보호 및 처리절차에 대해 안내하고 있다.
2. 접수된 내용은 경영지원팀 및 대표이사에게 이메일이 발송된다.
3. 경영지원팀에서는 접수된 내용에 대해 조사를 실시하고, 그 결과를 대표이사에게 보고한다.
4. 사안에 따라 징계위원회를 개최하고, 그 결과에 따라 조치를 취하며, 유사 사례 발생 방지를 위해 관련 교육을 실시한다.
5. "취업규칙 및 징계운영기준"에 징계의 종류 및 징계사유를 기술하고, 징계심의에 대한 절차 등을 명확히 기술하고 있으며, 윤리규범 및 회사정책 위반시 징계절차에 따라 징계를 받는다.
4. '취업규칙 및 징계운영기준"에 따르면 징계사유가 발생시 징계위원회를 개최하고, 징계사유 및 징계위원회의 결과에 따라 견책, 감봉, 정직, 해고의 징계를 받도록 하고 있다.</t>
    <phoneticPr fontId="4" type="noConversion"/>
  </si>
  <si>
    <t>사이버신문고, 윤리규범 위반사례 접수리스트</t>
    <phoneticPr fontId="4" type="noConversion"/>
  </si>
  <si>
    <t xml:space="preserve">【문서검사】
1. 홈페이지에 접속하여 다음을 확인한다.
- 임직원 및 외부이해관계자가 접근할 수 있도록 되어 있는지 여부
- 사이버신문고제도의 운영 내용에 대해 안내하고 있는지 여부
- 제보자의 신분 보장을 안내하고 있는지 여부
2. 윤리규범위반사례 접수리스트를 입수하여 샘플링 기준에 따라 샘플링 후 규정에 따라 운영되고 있는지 확인한다. </t>
    <phoneticPr fontId="4" type="noConversion"/>
  </si>
  <si>
    <t xml:space="preserve">본 통제활동에서 다루는 내부고발제도 절차 수립 및 운영는 거래의 연간 발생 빈도 및 중요도를 고려하여 주기를 A로 설정하였으며 통제 수행빈도는 해당 위험의 적시 예방 적발을 위해 적절하다고 판단됨. </t>
  </si>
  <si>
    <t xml:space="preserve">해당 통제와 관련한 중요한 위험인 [비윤리적 행위 및 내부회계관리제도의 위반사항을 적시에 식별하지 못하여 재무보고가 왜곡될 위험 ]에 대해 완전히 고려되고 있음. </t>
  </si>
  <si>
    <t>EL-040-40</t>
  </si>
  <si>
    <t>EL-040-40-10</t>
  </si>
  <si>
    <t>외부 감사를 통해 발견된 유의사항을 인식하지 못해 재무보고 및 내부회계관리제도가 비효과적으로 운영될 위험</t>
    <phoneticPr fontId="4" type="noConversion"/>
  </si>
  <si>
    <t>내부회계관리제도에 영향을 줄 수 있는 외부 관계자와의 의사소통이 원활이 수행된다.</t>
    <phoneticPr fontId="4" type="noConversion"/>
  </si>
  <si>
    <t>외부감사가  식별한 사항에 대한 의사소통</t>
    <phoneticPr fontId="4" type="noConversion"/>
  </si>
  <si>
    <t>외부감사인이 재무제표 감사 및 내부회계관리제도의 효과성 평가 과정에서 확인한 유의 사항을 확인하고 해결방안을 논의한다.</t>
    <phoneticPr fontId="4" type="noConversion"/>
  </si>
  <si>
    <t>1. 감사는 외부감사인의 재무제표 감사 과정에서 얻어진 정보에 대하여 외부감사인과 회의를 수행하고 다음과 같은 사항을 논의한다.
  • 회계정책의 변경여부
  • 비경상적 거래사건
  • 내부통제의 미비점 
  • 외부감사 진행결과
  • 기타 협의사항</t>
    <phoneticPr fontId="4" type="noConversion"/>
  </si>
  <si>
    <t>외부감사인과의 회의록</t>
    <phoneticPr fontId="4" type="noConversion"/>
  </si>
  <si>
    <t>【문서검사】
1. 감사와 외부감사인과의 회의록(Wrap-up Document)에 다음의 주요 사항을 논의하였는지 확인한다. 
- 회계정책의 변경여부
- 비경상적 거래사건
- 내부통제의 미비점 
- 외부감사 진행결과
- 기타 협의사항</t>
    <phoneticPr fontId="4" type="noConversion"/>
  </si>
  <si>
    <t xml:space="preserve">본 통제활동에서 다루는 외부감사가  식별한 사항에 대한 의사소통는 거래의 연간 발생 빈도 및 중요도를 고려하여 주기를 A로 설정하였으며 통제 수행빈도는 해당 위험의 적시 예방 적발을 위해 적절하다고 판단됨. </t>
  </si>
  <si>
    <t xml:space="preserve">해당 통제와 관련한 중요한 위험인 [외부 감사를 통해 발견된 유의사항을 인식하지 못해 재무보고 및 내부회계관리제도가 비효과적으로 운영될 위험 ]에 대해 완전히 고려되고 있음. </t>
  </si>
  <si>
    <t>EL-040-50</t>
  </si>
  <si>
    <t>EL-040-50-10</t>
  </si>
  <si>
    <t>유헌종
노정희</t>
  </si>
  <si>
    <t>재무보고에 영향을 미치는 부적절한 사안 등에 대한 외부 이해관계자의 의견이 적시에 식별되지 않을 위험</t>
    <phoneticPr fontId="4" type="noConversion"/>
  </si>
  <si>
    <t xml:space="preserve">재무보고에 부적절한 영향을 미치는 외부 이해관계자가 인식한 정보를 적시에 식별하고 대응방안을 마련한다 </t>
    <phoneticPr fontId="4" type="noConversion"/>
  </si>
  <si>
    <t>외부이해관계자가 접근 가능한 내부고발제도 운영</t>
    <phoneticPr fontId="4" type="noConversion"/>
  </si>
  <si>
    <t>외부와의 의사소통이 가능한 내부고발제도와 같은 별도의 의사소통 채널이 갖추어져 있다.</t>
    <phoneticPr fontId="4" type="noConversion"/>
  </si>
  <si>
    <t>1. 홈페이지에 사이버신문고제도를 운영하고 있으며, 임직원 및 외부 이해관계자가 익명으로 이용할 수 있도록 하고 있다. 홈페이지의 사이버신문고에서는 부당한 업무처리 사례, 제보자 보호 및 처리절차에 대해 안내하고 있다.
2. 접수된 내용은 진단팀 및 대표이사에게 이메일이 발송된다.
3. 진단팀에서는 접수된 내용에 대해 조사를 실시하고, 그 결과를 대표이사에게 보고한다.
4. 사안에 따라 징계위원회를 개최하고, 그 결과에 따라 조치를 취하며, 유사 사례 발생 방지를 위해 관련 교육을 실시한다.
5. "취업규칙 및 징계운영기준"에 징계의 종류 및 징계사유를 기술하고, 징계심의에 대한 절차 등을 명확히 기술하고 있으며, 윤리규범 및 회사정책 위반시 징계절차에 따라 징계를 받는다.
4. '취업규칙 및 징계운영기준"에 따르면 징계사유가 발생시 징계위원회를 개최하고, 징계사유 및 징계위원회의 결과에 따라 견책, 감봉, 정직, 해고의 징계를 받도록 하고 있다.</t>
    <phoneticPr fontId="4" type="noConversion"/>
  </si>
  <si>
    <t>사이버신문고, 윤리규범 위반사례 접수리스트</t>
  </si>
  <si>
    <t xml:space="preserve">【문서검사】
1. 홈페이지에 접속하여 다음을 확인한다.
- 임직원 및 외부이해관계자가 접근할 수 있도록 되어 있는지 여부
- 사이버신문고제도의 운영 내용에 대해 안내하고 있는지 여부
- 제보자의 신분 보장을 안내하고 있는지 여부
2. 윤리규범위반사례 접수리스트를 입수하여 샘플링 기준에 따라 샘플링 후 규정에 따라 운영되고 있는지 확인한다. </t>
  </si>
  <si>
    <t xml:space="preserve">본 통제활동에서 다루는 외부이해관계자가 접근 가능한 내부고발제도 운영는 거래의 연간 발생 빈도 및 중요도를 고려하여 주기를 A로 설정하였으며 통제 수행빈도는 해당 위험의 적시 예방 적발을 위해 적절하다고 판단됨. </t>
  </si>
  <si>
    <t xml:space="preserve">해당 통제와 관련한 중요한 위험인 [재무보고에 영향을 미치는 부적절한 사안 등에 대한 외부 이해관계자의 의견이 적시에 식별되지 않을 위험 ]에 대해 완전히 고려되고 있음. </t>
  </si>
  <si>
    <t>EL-050</t>
    <phoneticPr fontId="4" type="noConversion"/>
  </si>
  <si>
    <t>모니터링</t>
  </si>
  <si>
    <t>EL-050-10</t>
  </si>
  <si>
    <t>EL-050-10-10</t>
  </si>
  <si>
    <t>변화정도의 고려 및 상시적인 모니터링과 독립적인 평가의 결합이 고려되지 않아 내부회계관리제도에 대한 평가가 비효과적으로 수행될 위험</t>
    <phoneticPr fontId="4" type="noConversion"/>
  </si>
  <si>
    <t>출발점이후 내부회계관리제도에 중요한 영향을 미칠 사안이 파악되어 내부회계관리제도 설계∙운영 평가가 효과적으로 수행된다.</t>
    <phoneticPr fontId="4" type="noConversion"/>
  </si>
  <si>
    <t>상시적인 모니터링 및 독립적인 평가 계획 수립</t>
    <phoneticPr fontId="4" type="noConversion"/>
  </si>
  <si>
    <t>변화의 정도를 고려하고 상시적인 모니터링과 독립적인 평가 방안을 수립하여 내부회계관리제도 평가 계획을 수립한다.</t>
    <phoneticPr fontId="4" type="noConversion"/>
  </si>
  <si>
    <t>내부회계관리자는 전년도 평가결과 및 현재의  내·외부 환경변화를 고려하여 내부회계관리제도 평가계획을 수립하고, 모든 통제의 통제활동 설계평가자는 해당 통제를 담당하는 조직의 직원으로 구성되어 있으며, 운영평가는 통제담당 조직과 독립된 조직의 직원이 독립적으로 수행한다.</t>
    <phoneticPr fontId="4" type="noConversion"/>
  </si>
  <si>
    <t>1. 내부회계관리제도 평가계획을 입수하여 다음을 확인한다.
 - 평가자 및 평가조직의 독립성
 - 위험도가 높은 평가대상에 대한 범위/빈도 조정 여부
 - 변화관리체계에 따른 통제기술서 수정 여부</t>
    <phoneticPr fontId="4" type="noConversion"/>
  </si>
  <si>
    <t xml:space="preserve">본 통제활동에서 다루는 상시적인 모니터링 및 독립적인 평가 계획 수립는 거래의 연간 발생 빈도 및 중요도를 고려하여 주기를 A로 설정하였으며 통제 수행빈도는 해당 위험의 적시 예방 적발을 위해 적절하다고 판단됨. </t>
  </si>
  <si>
    <t xml:space="preserve">해당 통제와 관련한 중요한 위험인 [변화정도의 고려 및 상시적인 모니터링과 독립적인 평가의 결합이 고려되지 않아 내부회계관리제도에 대한 평가가 비효과적으로 수행될 위험 ]에 대해 완전히 고려되고 있음. </t>
  </si>
  <si>
    <t>EL-050-20</t>
  </si>
  <si>
    <t>EL-050-20-10</t>
  </si>
  <si>
    <t>평가자들이 평가대상에 대한 충분한 지식을 보유하지 않아 상시적인 모니터링과 독립적인 평가가 비효과적으로 수행될 위험</t>
    <phoneticPr fontId="4" type="noConversion"/>
  </si>
  <si>
    <t>평가자들이 평가대상에 대한 충분한 지식을 보유하여 상시적인 모니터링과 독립적인 평가가 효과적으로 수행된다.</t>
    <phoneticPr fontId="4" type="noConversion"/>
  </si>
  <si>
    <t>충분한 지식을 갖춘 인력의 활용</t>
    <phoneticPr fontId="4" type="noConversion"/>
  </si>
  <si>
    <t>상시적인 모니터링과 독립적인 평가를 수행하는 평가자들은 평가대상에 대한 충분한 지식을 보유하고 있다</t>
    <phoneticPr fontId="4" type="noConversion"/>
  </si>
  <si>
    <t>1. 통제 평가자별 적격성 Template을 작성하고, 내부회계관리제도 교육 이수내역을 검토한다.
2. 통제활동에 대한 운영평가 수행 시, 평가 담당자는 해당 통제를 수행한 담당자가 속하지 않는 다른 부서의 담당자가 수행한다.</t>
    <phoneticPr fontId="4" type="noConversion"/>
  </si>
  <si>
    <t>적격성 Template, 내부회계관리제도 교육이수 리스트</t>
    <phoneticPr fontId="4" type="noConversion"/>
  </si>
  <si>
    <t>【문서검사】
1. 적격성 Template이 작성되었는지 확인한다.
2. 통제평가자가 내부회계관리제도 교육을 이수하였는지 확인한다.
3. 통제평가자는 평가 대상 통제활동을 수행하지 않는 독립적인 위치에 있는지 확인한다.</t>
    <phoneticPr fontId="4" type="noConversion"/>
  </si>
  <si>
    <t xml:space="preserve">본 통제활동에서 다루는 충분한 지식을 갖춘 인력의 활용는 거래의 연간 발생 빈도 및 중요도를 고려하여 주기를 A로 설정하였으며 통제 수행빈도는 해당 위험의 적시 예방 적발을 위해 적절하다고 판단됨. </t>
  </si>
  <si>
    <t xml:space="preserve">해당 통제와 관련한 중요한 위험인 [평가자들이 평가대상에 대한 충분한 지식을 보유하지 않아 상시적인 모니터링과 독립적인 평가가 비효과적으로 수행될 위험 ]에 대해 완전히 고려되고 있음. </t>
  </si>
  <si>
    <t>EL-050-30</t>
  </si>
  <si>
    <t>EL-050-30-10</t>
  </si>
  <si>
    <t>김세영
노정희</t>
  </si>
  <si>
    <t>상시적인 모니터링이 수행되지 않아 내부회계관리제도가 비효과적 또는 비효율적으로 운영될위험</t>
    <phoneticPr fontId="4" type="noConversion"/>
  </si>
  <si>
    <t>상시적인 모니터링 절차를 통해 내부회계관리제도를 효율적으로 운영한다.</t>
    <phoneticPr fontId="4" type="noConversion"/>
  </si>
  <si>
    <t>상시적인 모니터링의 수행</t>
    <phoneticPr fontId="4" type="noConversion"/>
  </si>
  <si>
    <t>내부회계관리제도의 목적 달성을 위해 상시적인 모니터링를 수행하고 있다.</t>
    <phoneticPr fontId="4" type="noConversion"/>
  </si>
  <si>
    <t>1. 내부회계관리제도에 중요한 영향을 미치는 변화사항을 식별하고 대응방안을 마련하는 변화관리체계가 수립되어 운영되고 있다.
2. 경영진은 매월 경영회의를 통해 사업계획 대비 실적 분석등을 검토한다.
3. 경영지원팀은 다음과 같은 사항들을 관리하고 있다.
- 평가 주기와 가장 최근의 평가에 대한 상세 현황
- 발견된 통제 미비사항 및 항목별 개선 현황
- 프로세스 및 하위 프로세스의 핵심 관계자 및 연락처</t>
    <phoneticPr fontId="4" type="noConversion"/>
  </si>
  <si>
    <t>변화관리보고서, 경영회의자료</t>
    <phoneticPr fontId="4" type="noConversion"/>
  </si>
  <si>
    <t xml:space="preserve">【문서검사】
1. '변화관리보고서'를 샘플링 기준에 따라 샘플링한 후 다음 사항을 확인한다.
- 현업부서별로 식별한 중요한 변화 사항에 대한 위험의 식별 및 평가하고 경영지원팀에 보고하였는지 여부
- 경영지원팀은 보고받은 중요한 변화사항과 관련하여 대응 방안의 적정성을 검토하였는지 여부
- 기존 통제절차의 적정성 검토를 기반으로 변화된 위험에 따른 통제활동의 수정 및 신설 여부
- 중요한 변화사항 및 대응방안에 대해 내부회계관리자 및 감사에 보고되었는지 여부
2. 경영진에게 보고된 경영회의 자료에 사업계획 및 실적분석 자료가 포함되어 있는지 확인한다.
3. 다음의 사항을 포함하여 모니터링이 수행되는지 확인한다.
  •평가 주기와 가장 최근의 평가에 대한 상세 현황
  •발견된 통제 미비사항 및 항목별 개선 현황
  •프로세스 및 하위 프로세스의 핵심 관계자 및 연락처
</t>
    <phoneticPr fontId="4" type="noConversion"/>
  </si>
  <si>
    <t xml:space="preserve">본 통제활동에서 다루는 상시적인 모니터링의 수행는 거래의 연간 발생 빈도 및 중요도를 고려하여 주기를 A로 설정하였으며 통제 수행빈도는 해당 위험의 적시 예방 적발을 위해 적절하다고 판단됨. </t>
  </si>
  <si>
    <t xml:space="preserve">해당 통제와 관련한 중요한 위험인 [상시적인 모니터링이 수행되지 않아 내부회계관리제도가 비효과적 또는 비효율적으로 운영될위험 ]에 대해 완전히 고려되고 있음. </t>
  </si>
  <si>
    <t>EL-050-40</t>
  </si>
  <si>
    <t>EL-050-40-10</t>
  </si>
  <si>
    <t>독립적인 평가 절차의 미비로 내부회계관리제도가 비효과적 또는 비효율적으로 운영될위험</t>
    <phoneticPr fontId="4" type="noConversion"/>
  </si>
  <si>
    <t>독립적인 평가를 수행하여 내부회계관리제도의 목적을 달성한다.</t>
    <phoneticPr fontId="4" type="noConversion"/>
  </si>
  <si>
    <t>독립적인 평가 수행</t>
    <phoneticPr fontId="4" type="noConversion"/>
  </si>
  <si>
    <t>위험의 중요성에 따라 범위와 빈도를 고려하여 내부회계관리제도에 대한 독립적인 평가가 수행되고 있다.</t>
    <phoneticPr fontId="4" type="noConversion"/>
  </si>
  <si>
    <t>통제기술서에 각 통제활동에 적용되는 위험의 정도가 정의되며, 다음의 절차를 통해 독립적인 평가를 수행하고 있다.  
1. 경영지원팀 주관하에 매년 내부회계관리제도 평가 계획을 수립함.
2. 내부회계관리제도 평가 계획시 평가자의 적격성 및 독립성을 검토함. 
3. 내부회계관리제도 평가는 설계평가, 운영평가의 단계를 통해 수행됨
- 설계평가: 통제활동 수행부서 외의 독립된 부서의 평가로, 추적조사를 통해 통제기술서 내용의 적정성 및 식별된 위험에 대한 통제활동 설계의 적정성을 점검함
- 운영평가: 통제활동 수행부서 외의 독립된 부서의 평가로, 샘플테스트를 통해 통제활동이 설계된 대로 운영되는지를 점검함
4. 각 부서장은 소속 조직의 평가결과를 확인하고, 확인결과를 경영지원팀에 제출함.</t>
    <phoneticPr fontId="4" type="noConversion"/>
  </si>
  <si>
    <t>내부회계관리제도 평가계획, 평가결과보고서</t>
    <phoneticPr fontId="4" type="noConversion"/>
  </si>
  <si>
    <t>【문서검사】
1. '내부회계관리제도 평가계획 '및 '평가결과 보고서'에서 다음을 확인한다.
- 내부회계관리제도 평가를 위한 평가계획이 수립되었는지 여부
- 핵심통제는 평가대상에 모두 포함되었는지 여부
- 통제활동 수행부서 외의 자에 의한 설계평가 및 운영평가가 이루어졌는지 여부</t>
    <phoneticPr fontId="4" type="noConversion"/>
  </si>
  <si>
    <t xml:space="preserve">본 통제활동에서 다루는 독립적인 평가 수행는 거래의 연간 발생 빈도 및 중요도를 고려하여 주기를 A로 설정하였으며 통제 수행빈도는 해당 위험의 적시 예방 적발을 위해 적절하다고 판단됨. </t>
  </si>
  <si>
    <t xml:space="preserve">해당 통제와 관련한 중요한 위험인 [독립적인 평가 절차의 미비로 내부회계관리제도가 비효과적 또는 비효율적으로 운영될위험 ]에 대해 완전히 고려되고 있음. </t>
  </si>
  <si>
    <t>EL-050-50</t>
  </si>
  <si>
    <t>EL-050-50-10</t>
  </si>
  <si>
    <t>노정희</t>
  </si>
  <si>
    <t>외부서비스제공자의 변경 사항이 식별되지 않아 재무보고 및 내부회계관리제도 운영에 왜곡이 발생할 위험</t>
    <phoneticPr fontId="4" type="noConversion"/>
  </si>
  <si>
    <t>외부서비스제공자의 변경 관리</t>
    <phoneticPr fontId="4" type="noConversion"/>
  </si>
  <si>
    <t>외부서비스제공자의 변경 사항이 회사의 내부회계관리제도에 미치는 영향을 재평가한다</t>
    <phoneticPr fontId="4" type="noConversion"/>
  </si>
  <si>
    <t>【문서검사】
1. 'OSP List'("서비스 조직 위험평가")를 징구하여 다음을 확인한다.
- 외부서비스제공자와 관련한 중요한 변동사항 여부의 식별
- 변경사항이 내부회계관리제도에 미치는 영향 검토와 문서화 여부</t>
    <phoneticPr fontId="4" type="noConversion"/>
  </si>
  <si>
    <t xml:space="preserve">본 통제활동에서 다루는 외부서비스제공자의 변경 관리는 거래의 연간 발생 빈도 및 중요도를 고려하여 주기를 A로 설정하였으며 통제 수행빈도는 해당 위험의 적시 예방 적발을 위해 적절하다고 판단됨. </t>
  </si>
  <si>
    <t xml:space="preserve">해당 통제와 관련한 중요한 위험인 [외부서비스제공자의 변경 사항이 식별되지 않아 재무보고 및 내부회계관리제도 운영에 왜곡이 발생할 위험 ]에 대해 완전히 고려되고 있음. </t>
  </si>
  <si>
    <t>EL-050-60</t>
  </si>
  <si>
    <t>EL-050-60-10</t>
  </si>
  <si>
    <t>내부회계관리제도의 설계 및 운영 평가로 식별된 통제 미비점에 대한 시정계획의 보고 및 모니터링 절차 부재로 인해 미비점이 개선되지 않을 위험</t>
    <phoneticPr fontId="4" type="noConversion"/>
  </si>
  <si>
    <t>내부회계관리제도 설계∙운영 상의 통제 미비점에 대한 효과적인 대책방안이 수립되어 개선이 적시에 이행된다.</t>
    <phoneticPr fontId="4" type="noConversion"/>
  </si>
  <si>
    <t>미비점 보고 및 개선사항 모니터링</t>
    <phoneticPr fontId="4" type="noConversion"/>
  </si>
  <si>
    <t>내부회계관리제도의 설계 및 운영 평가 결과 식별된 미비점을 적시에 개선할 수 있는 절차를 마련하고 개선사항에 대해 모니터링한다.</t>
    <phoneticPr fontId="4" type="noConversion"/>
  </si>
  <si>
    <t>1. 재경팀은 내부회계관리제도 운영실태 점검결과 발견된 미비점 및 조치내역을 내부회계관리자 및 대표이사에게 보고한다.
- 미비점 분류기준은 내부회계관리제도 모범규준에 따름
- 예외사항이 미비점으로 확정된 경우, 해당 예외사항과 관련된 통제수행자, 통제책임자와 논의하여 통제책임자와 미비점 개선방안(원인 분석, 개선 담당자 지정, 개선 목표 일정 수립 등)을 마련함
2. 경영진은 내부회계관리제도 운영실태 점검 결과 파악된 문제점을 검토하고 사후조치를 취한다.
3. 대표이사는 운영실태 점검결과를 토대로 감사 및 이사회에 대면보고한다.</t>
    <phoneticPr fontId="4" type="noConversion"/>
  </si>
  <si>
    <t>내부회계관리제도 운영실태 보고서, 감사 평가보고서</t>
    <phoneticPr fontId="4" type="noConversion"/>
  </si>
  <si>
    <t>【문서검사】
1. 내부회계관리제도 평가내역을 입수하여 다음을 확인한다.
- 운영실태 점검내역 및 점검결과(통제미비점 및 개선계획 포함)가 작성·관리되고 있는지 여부
- 미비점과 개선계획이 모두 내부회계관리자 및 대표이사 보고에 포함되었는지 여부
- 개선계획은 개선완료 되었는지 여부(만약, 테스트일 현재 개선이 완료되지 않은 건이 있는 경우 해당 사유를 파악하고, 적정성을 판단한다)
2. 내부회계관리자 및 대표이사에 보고한 '내부회계 운영실태 점검 결과 보고서'를 징구하여 '평가 및 보고 모범규준 및 적용기법'에서 요구하는 평가내용, 절차 및 평가결과에 대한 사항이 보고서에 포함되어 대표이사의 승인 여부를 확인한다.
3. '이사회의사록' 및 '감사록'에 대표이사의 운영실태 점검 결과를 보고한 내용이 있는지 확인한다.</t>
    <phoneticPr fontId="4" type="noConversion"/>
  </si>
  <si>
    <t xml:space="preserve">본 통제활동에서 다루는 미비점 보고 및 개선사항 모니터링는 거래의 연간 발생 빈도 및 중요도를 고려하여 주기를 A로 설정하였으며 통제 수행빈도는 해당 위험의 적시 예방 적발을 위해 적절하다고 판단됨. </t>
  </si>
  <si>
    <t xml:space="preserve">해당 통제와 관련한 중요한 위험인 [내부회계관리제도의 설계 및 운영 평가로 식별된 통제 미비점에 대한 시정계획의 보고 및 모니터링 절차 부재로 인해 미비점이 개선되지 않을 위험 ]에 대해 완전히 고려되고 있음. </t>
  </si>
  <si>
    <t>EL-050-70</t>
  </si>
  <si>
    <t>EL-050-70-10</t>
  </si>
  <si>
    <t>이사회 및 감사는 내부통제에 대한 감독기능의 미비로 외부 재무보고에 영향을 미치는 내부통제 미비점이 시정되지 않을 위험</t>
    <phoneticPr fontId="4" type="noConversion"/>
  </si>
  <si>
    <t>이사회 및 감사는 외부 재무보고에 영향을 미치는 내부통제 미비점에 관한 내용과 상황을 이해하고, 경영진의 결론과 시정 계획을 감독한다.</t>
    <phoneticPr fontId="4" type="noConversion"/>
  </si>
  <si>
    <t>미비점 평가 및 시정계획 감독 및 보고</t>
    <phoneticPr fontId="4" type="noConversion"/>
  </si>
  <si>
    <t>이사회 및 감사는 내부회계 운영실태를 평가하고 개선계획을 검토하여 보고한다.</t>
    <phoneticPr fontId="4" type="noConversion"/>
  </si>
  <si>
    <t>1. 감사는 대표이사(또는 내부회계관리자)와의 대면회의를 통해 내부회계 운영실태 점검결과를 논의하고, 평가 수행 및 그 결과에 대한 내부회계관리제도 평가표를 작성한다.
2. 감사는 정기총회 개최 1주 전까지 내부회계관리제도 평가보고서를 이사회에 대면 보고한다.</t>
    <phoneticPr fontId="4" type="noConversion"/>
  </si>
  <si>
    <t>내부회계관리제도 평가표, 감사의 평가보고서, 이사회의사록</t>
    <phoneticPr fontId="4" type="noConversion"/>
  </si>
  <si>
    <t xml:space="preserve">【문서검사】
1. 감사의 평가내역 및 평가보고서, 이사회 의사록을 징구하여 다음을 확인한다.
- 감사는 대표이사(또는 내부회계관리자)와의 대면회의를 통해 내부회계평가를 수행하였는지 여부
- 감사는 내부회계관리제도 운영 실태를 평가하고, 평가결과는 적절히 문서화되었는지 여부
2. '이사회의사록'을 통해 감사가 정기총회 개최 1주전까지 내부회계관리제도 평가보고서를 이사회 대면보고 하였는지 여부를 확인한다.
</t>
    <phoneticPr fontId="4" type="noConversion"/>
  </si>
  <si>
    <t xml:space="preserve">본 통제활동에서 다루는 미비점 평가 및 시정계획 감독 및 보고는 거래의 연간 발생 빈도 및 중요도를 고려하여 주기를 A로 설정하였으며 통제 수행빈도는 해당 위험의 적시 예방 적발을 위해 적절하다고 판단됨. </t>
  </si>
  <si>
    <t xml:space="preserve">해당 통제와 관련한 중요한 위험인 [이사회 및 감사는 내부통제에 대한 감독기능의 미비로 외부 재무보고에 영향을 미치는 내부통제 미비점이 시정되지 않을 위험 ]에 대해 완전히 고려되고 있음. </t>
  </si>
  <si>
    <t>SD</t>
  </si>
  <si>
    <t>매출관리</t>
  </si>
  <si>
    <t>SD-010</t>
  </si>
  <si>
    <t>주문 및 거래관리</t>
  </si>
  <si>
    <t>SD-010-10</t>
  </si>
  <si>
    <t>SD-010-10-10</t>
  </si>
  <si>
    <t>솔루션사업팀</t>
  </si>
  <si>
    <t>1. 고객주문 내용이 완전하게 파악되지 아니하여 잘못된 구매가 발생할 위험
2. 중요한 비경상적인 거래가 통제되지 아니할 위험</t>
  </si>
  <si>
    <t>Low</t>
    <phoneticPr fontId="4" type="noConversion"/>
  </si>
  <si>
    <t>High</t>
    <phoneticPr fontId="4" type="noConversion"/>
  </si>
  <si>
    <t>주문은 정확하고 완전하게 처리되어야 한다.</t>
  </si>
  <si>
    <t>견적서 제출전 사전 타당성검토</t>
  </si>
  <si>
    <t>견적서의 제출 시 권한있는 승인권자가 금액 및 거래조건 등에 대하여 승인하고 문서화하여야 한다.</t>
    <phoneticPr fontId="4" type="noConversion"/>
  </si>
  <si>
    <t>O</t>
    <phoneticPr fontId="4" type="noConversion"/>
  </si>
  <si>
    <t>M</t>
    <phoneticPr fontId="4" type="noConversion"/>
  </si>
  <si>
    <t>매출, 매출채권, 계약자산, 계약부채, 부가가치세예수금</t>
    <phoneticPr fontId="2" type="noConversion"/>
  </si>
  <si>
    <t>D</t>
    <phoneticPr fontId="4" type="noConversion"/>
  </si>
  <si>
    <t>H</t>
    <phoneticPr fontId="4" type="noConversion"/>
  </si>
  <si>
    <t>1. 고객으로부터 구두 혹은 이메일로 구매요청을 수령하면, 고객이 요구하는 내용 및 가이드라인에 근거하여 영업담당자는 판매가 및 대금 결제조건을 결정함. 
2. 작성된 견적서(제안서)는 상위권자에게 문서화를 통하여 보고되며 상위권자의 결제를 득함.</t>
    <phoneticPr fontId="4" type="noConversion"/>
  </si>
  <si>
    <t xml:space="preserve">1. 고객사로부터의 주문을 접수 시 제안서 또는 견적서를 작성하여 제출함.
2. 제안서 또는 견적서에 대한 문서화된 승인절차는 없으며, 해당 영업팀장에게 구두 보고 후 제출하고 있음.
3. 판매단가의 경우 제품별로 사전에 정해진 가이드라인이 정해져 있으며, 50% 이상의 할인율을 적용할경우 사업본부장에게 이메일로 보고 후 제출하고 있음.
</t>
    <phoneticPr fontId="4" type="noConversion"/>
  </si>
  <si>
    <t>매출전표</t>
    <phoneticPr fontId="4" type="noConversion"/>
  </si>
  <si>
    <t>【질문, 문서검사】
1. 솔루션사업본부의 영업담당자에게 견적서(제안서)가 상위권자 승인을 받고 있는지 질문한다.
2. 표본기간 중의 매출전표을 모집단으로 하여 표본수에 해당하는 표본을 추출한다.
2. 표본으로 선정된 매출계약에 대한 견적서(제안서)가 상위권자의 문서화된 결제를 득하였는지 문서검사를 실시한다.</t>
    <phoneticPr fontId="4" type="noConversion"/>
  </si>
  <si>
    <t>솔루션사업본부 전결권자</t>
    <phoneticPr fontId="4" type="noConversion"/>
  </si>
  <si>
    <t xml:space="preserve">본 통제활동에서 다루는 견적서 제출전 사전 타당성검토는 거래의 연간 발생 빈도 및 중요도를 고려하여 주기를 D로 설정하였으며 통제 수행빈도는 해당 위험의 적시 예방 적발을 위해 적절하다고 판단됨. </t>
  </si>
  <si>
    <t xml:space="preserve">해당 통제와 관련한 중요한 위험인 [1. 고객주문 내용이 완전하게 파악되지 아니하여 잘못된 구매가 발생할 위험
2. 중요한 비경상적인 거래가 통제되지 아니할 위험 ]에 대해 완전히 고려되고 있음. </t>
  </si>
  <si>
    <t>견적서(제안서)에 대한 문서화된 승인</t>
    <phoneticPr fontId="4" type="noConversion"/>
  </si>
  <si>
    <t>[현황]
솔루션사업부 내 영업담당자는 견적서(제안서)를 작성 후 상위권자에게 구두 또는 이메일로 보고되고 있으나, 견적서(제안서)의 승인 여부에 대한 별도의 문서화가 이루어지지 않고 있음.
[잠재적 위험]
승인권자의 승인이 이루어지지 않은 견적서(제안서)가 제출되어 오류 및 부정이 발생할 수 있는 매출거래가 발생할 위험이 존재함. 또한, 내부회계관리제도 문서화 측면에서 구두 보고는 실제로 통제활동이 이루어지지 않았다고 간주될 수 있음.</t>
    <phoneticPr fontId="2" type="noConversion"/>
  </si>
  <si>
    <t>[개선안]
영업담당자가 작성한 견적서(제안서)가 고객사에 제출되기 전에 승인권자의 문서화된 승인을 득함으로서 잘못된 견적서가 제출될 위험을 감소시키는 업무프로세스가 구축되어야 할 것으로 판단됨.</t>
    <phoneticPr fontId="2" type="noConversion"/>
  </si>
  <si>
    <t>SD-010-10-20</t>
  </si>
  <si>
    <t>검토되지 않은 부적절한 계약으로 매출인식의 오류 및 부정이 발생할 위험</t>
  </si>
  <si>
    <t>매출계약은 정당한 승인절차를 거쳐 체결된다.</t>
    <phoneticPr fontId="4" type="noConversion"/>
  </si>
  <si>
    <t>매출계약 승인</t>
    <phoneticPr fontId="4" type="noConversion"/>
  </si>
  <si>
    <t>매출계약은 품의서에 따라 권한있는 승인권자의 검토 및 승인에 따라 체결된다.</t>
    <phoneticPr fontId="4" type="noConversion"/>
  </si>
  <si>
    <t>1. 제안 내용이 채택되어 최종 가격 및 판매조건에 대한 협상이 완료되면 계약서를 작성하며, 계약에 대한 품의서를 작성하여 상위권자의 승인을 받고 있음.</t>
    <phoneticPr fontId="4" type="noConversion"/>
  </si>
  <si>
    <t>1. 제안 내용이 채택되어 최종 가격 및 판매조건에 대한 협상이 완료되면 계약서를 작성하며, 영업담당자는 견적서와 함께 이메일로 경영지원팀장에게 검토를 요청함.
2. 경영지원팀장은 계약서 검토 후 이상이 없는 경우 구두 또는 이메일로 회신하고 있음.</t>
    <phoneticPr fontId="4" type="noConversion"/>
  </si>
  <si>
    <t>【문서검사】
1. 표본기간 중의 매출전표을 모집단으로 하여 표본수에 해당하는 표본을 추출한다.
2. 표본으로 선정된 매출건에 대한 계약체결품의서 및 계약서가 작성되었는지 확인한다.
3. 품의서상 계약조건이 제안서와 일치하며, 경영지원팀장의 승인을 득하였음을 확인한다.</t>
    <phoneticPr fontId="4" type="noConversion"/>
  </si>
  <si>
    <t xml:space="preserve">본 통제활동에서 다루는 매출계약 승인는 거래의 연간 발생 빈도 및 중요도를 고려하여 주기를 D로 설정하였으며 통제 수행빈도는 해당 위험의 적시 예방 적발을 위해 적절하다고 판단됨. </t>
  </si>
  <si>
    <t xml:space="preserve">해당 통제와 관련한 중요한 위험인 [검토되지 않은 부적절한 계약으로 매출인식의 오류 및 부정이 발생할 위험 ]에 대해 완전히 고려되고 있음. </t>
  </si>
  <si>
    <t>매출계약서에 대한 문서화된 승인</t>
    <phoneticPr fontId="4" type="noConversion"/>
  </si>
  <si>
    <t>[현황]
매출계약의 체결 시 이메일로 경영지원팀장에게 계약서에 대한 검토를 요청하고 있으나, 승인여부에 대한 별도의 문서화가 이루어지지 않고 있음.
[잠재적 위험]
매출계약서에 대한 승인권자의 검토 및 승인이 이루어지지 않은 계약이 체결되어 오류 또는 부정이 발생할 위험이 존재함. 또한, 내부회계관리제도 문서화 측면에서 구두 보고는 실제로 통제활동이 이루어지지 않았다고 간주될 수 있음.</t>
    <phoneticPr fontId="2" type="noConversion"/>
  </si>
  <si>
    <t xml:space="preserve">[개선안]
매출계약서는 사전에 정해진 체크리스트를 통해 검토가 이뤄지고, 권한있는 승인권자는 체크리스트 및 계약의 주요한 조건에 대한 검토를 실시하는 업무프로세스가 구축되어야 함.
매출계약 체결에 대하여 승인권자의 문서화된 승인을 득한 이후 계약서의 법인인감날인이 이뤄지게 함으로서 잘못된 매출계약이 체결될 위험을 감소시키는 업무프로세스가 구축되어야 함.
</t>
    <phoneticPr fontId="2" type="noConversion"/>
  </si>
  <si>
    <t>SD-020</t>
  </si>
  <si>
    <t>매출기록 및 청구</t>
    <phoneticPr fontId="4" type="noConversion"/>
  </si>
  <si>
    <t>SD-020-10</t>
  </si>
  <si>
    <t>SD-020-10-10</t>
  </si>
  <si>
    <t>매출인식이 부정확하게 기록되어 매출의 측정 및 기간귀속에 왜곡표시가 발생할 위험</t>
  </si>
  <si>
    <t>SR</t>
    <phoneticPr fontId="2" type="noConversion"/>
  </si>
  <si>
    <t>수익은 완전하고 정확하게 집계되어 처리되어야 한다.</t>
  </si>
  <si>
    <t>매출전표의 승인</t>
  </si>
  <si>
    <t>매출은 관련 증빙에 따라 권한있는 승인권자의 검토 및 승인절차를 통해 기록된다.</t>
    <phoneticPr fontId="4" type="noConversion"/>
  </si>
  <si>
    <t>더존</t>
    <phoneticPr fontId="4" type="noConversion"/>
  </si>
  <si>
    <t>Higher</t>
  </si>
  <si>
    <t>1. 솔루션사업본부 담당자는 고객사 확인을 받은 납품확인서, 인증서, 검수확인서, 견적서, 계약서 등을 첨부하여 세금계산서발행요청서 기재하여 경영지원팀에게 세금계산서 발행을 요청함.
2. 경영지원팀장은 관련 증빙을 확인 후 세금계산서발행요청서를 승인하며, 세금계산서 발행 후 매출전표를 작성하여 경영지원팀장의 승인을 받음.
3. 경영지원팀 담당자는 월별로 매출 발생 내역을 엑셀로 정리하여 경영지원팀장, 대표이사에게 보고하고 있으며, 이를 통해 매출누락 여부 등이 확인됨.</t>
    <phoneticPr fontId="4" type="noConversion"/>
  </si>
  <si>
    <t>1. 영업부 담당자는 계약서, 견적서를 첨부한 세금계산서발행요청서를 작성하여 영업팀장의 승인을 득한 후 경영지원팀에 세금계산서 발행을 요청함.
2. 세금계산서발행요청서 상 납품확인서, 인증서, 검수확인서 등 매출 완료 여부를 확인할 수 있는 증빙은 첨부되고 있지 아니함.
2. 세금계산서 발행 후 매출전표를 작성하고 있으며, 별도로 경영지원팀장의 승인을 득하고 있지 아니함.
3. 월별로 매출내역은 대표이사에게 보고되고 있음.</t>
    <phoneticPr fontId="4" type="noConversion"/>
  </si>
  <si>
    <t>【문서검사】
1. 표본기간 중의 매출전표을 모집단으로 하여 표본수에 해당하는 표본을 추출한다.
2. 표본으로 선정된 매출건에 대하여 관련 증빙(검수확인서, 납품확인서, 인증서, 계약서 등)과 세금계산서발행요청서, 매출전표과 일치하는지 여부를 확인한다. 
3. 세금계산서 발행요청서와 매출전표는 경영지원팀장의 승인을 득하였는지 확인한다.</t>
    <phoneticPr fontId="4" type="noConversion"/>
  </si>
  <si>
    <t xml:space="preserve">본 통제활동에서 다루는 매출전표의 승인는 거래의 연간 발생 빈도 및 중요도를 고려하여 주기를 D로 설정하였으며 통제 수행빈도는 해당 위험의 적시 예방 적발을 위해 적절하다고 판단됨. </t>
  </si>
  <si>
    <t xml:space="preserve">해당 통제와 관련한 중요한 위험인 [매출인식이 부정확하게 기록되어 매출의 측정 및 기간귀속에 왜곡표시가 발생할 위험 ]에 대해 완전히 고려되고 있음. </t>
  </si>
  <si>
    <t>매출 발생 증빙에 대한 검토</t>
    <phoneticPr fontId="4" type="noConversion"/>
  </si>
  <si>
    <t>[현황]
솔루션사업부 내 영업담당자는 세금계산서 발행 요청 시 견적서, 계약서를 첨부한 세금계산서발행요청서를 작성하여 경영지원팀에 요청하고 있으나, 실제 납품이 이뤄졌음을 확인할 수 있는 증빙(납품확인서, 검수확인서, 인증서 등)에 대한 검토는 경영지원팀에서 이뤄지고 있지 아니함.
세금계산서발행요청서에 대하여 경영지원팀장의 승인이 이루어지지 않고 있음.
[잠재적 위험]
세금계산서의 발급이 적절히 이뤄지지 않아 매출인식이 부정확하게 기록되어 매출의 측정 및 기간귀속에 왜곡표시가 발생할 위험이 존재함.</t>
    <phoneticPr fontId="2" type="noConversion"/>
  </si>
  <si>
    <t>[개선안]
경영지원팀 담당자는 견적서, 계약서 외에 실제 납품의 발생사실을 확인할 수 있는 증빙을 입수하여 검토하는 업무프로세스가 구축되어야 함.
세금계산서 발행요청서는 승인권자의 문서화된 승인을 득함으로서 매출이 부적확하게 기록될 위험을 감소시키는 업무프로세스가 구축되어야 함.</t>
    <phoneticPr fontId="2" type="noConversion"/>
  </si>
  <si>
    <t>SD-020-30</t>
    <phoneticPr fontId="4" type="noConversion"/>
  </si>
  <si>
    <t>SD-020-20-30</t>
  </si>
  <si>
    <t>이단비</t>
  </si>
  <si>
    <t>유지보수매출에 대한 계산이 정확하고 완전하게 계산되지 않아 왜곡표시가 발생할 위험</t>
    <phoneticPr fontId="4" type="noConversion"/>
  </si>
  <si>
    <t>High</t>
    <phoneticPr fontId="4" type="noConversion"/>
  </si>
  <si>
    <t>HR</t>
  </si>
  <si>
    <t>유지보수매출은 정확하게 완전하게 기록된다</t>
    <phoneticPr fontId="4" type="noConversion"/>
  </si>
  <si>
    <t>유지보수매출 조정</t>
    <phoneticPr fontId="4" type="noConversion"/>
  </si>
  <si>
    <t>유지보수 매출 관련 조정분개는 정확하게 계산되어야 하고, 정확성을 확보할 수 있도록 적절한 검토가 이루어져야 한다.</t>
    <phoneticPr fontId="4" type="noConversion"/>
  </si>
  <si>
    <t>O</t>
    <phoneticPr fontId="4" type="noConversion"/>
  </si>
  <si>
    <t>매출, 매출채권, 계약자산, 계약부채</t>
    <phoneticPr fontId="2" type="noConversion"/>
  </si>
  <si>
    <t>Q</t>
    <phoneticPr fontId="4" type="noConversion"/>
  </si>
  <si>
    <t>Y</t>
    <phoneticPr fontId="4" type="noConversion"/>
  </si>
  <si>
    <t>유지보수매출 계산파일</t>
    <phoneticPr fontId="4" type="noConversion"/>
  </si>
  <si>
    <t xml:space="preserve">전결권자는 담당자가 작성한 유지보수매출 조정관련 회계전표와 첨부된 검증내역 대해 다음의 관점에서 검토 후 승인한다.
- 소프트웨어 매출 조정파일의 내용의 관련 매출계약서상의 내용과 일치하는지를 확인
- 회계처리에 사용된 유지보수 매출 인식 스케쥴이 최초 유지보수 매출계산시 사용된 스케쥴표와 변경되었는지 여부에 대한 확인
- 유지보수 매출계산에 있어 사용된 로직의 변경사항이 존재하는지와 산출된 계산내역이 적절한지를 확인함. </t>
    <phoneticPr fontId="4" type="noConversion"/>
  </si>
  <si>
    <t>IFRS적용에 따른 유지보수매출 조정과 관련한 프로세스는 현재 별도로 존재하지 않음</t>
    <phoneticPr fontId="4" type="noConversion"/>
  </si>
  <si>
    <t>유지보수매출 조정전표</t>
    <phoneticPr fontId="4" type="noConversion"/>
  </si>
  <si>
    <t>【문서검사】
1. 표본기간 중의 유지보수매출 조정전표을 모집단으로 하여 표본수에 해당하는 표본을 추출한다.
2. 표본으로 선정된 매출전표 상 계약부채, 계약자산 금액과 경영지원팀 담당자가 작성한 유지보수매출 조정 엑셀파일이 일치하는지 확인한다.
3. 유지보수매출 계산에 사용된 계약정보가 계약서상 기재된 정보(계약금액, 유지보수기간)와 일치하는지 확인한다.
4. 유지보수 조정전표가 경영지원팀장의 승인을 받았는지 확인한다.</t>
    <phoneticPr fontId="4" type="noConversion"/>
  </si>
  <si>
    <t xml:space="preserve">본 통제활동에서 다루는 유지보수매출 조정는 거래의 연간 발생 빈도 및 중요도를 고려하여 주기를 Q로 설정하였으며 통제 수행빈도는 해당 위험의 적시 예방 적발을 위해 적절하다고 판단됨. </t>
  </si>
  <si>
    <t xml:space="preserve">해당 통제와 관련한 중요한 위험인 [유지보수매출에 대한 계산이 정확하고 완전하게 계산되지 않아 왜곡표시가 발생할 위험 ]에 대해 완전히 고려되고 있음. </t>
  </si>
  <si>
    <t>유지보수매출 조정에 대한 검증절차</t>
    <phoneticPr fontId="4" type="noConversion"/>
  </si>
  <si>
    <t>[현황]
S/W 매출은 S/W 공급과 유지보수용역의 수행의무로 분리됨에 따라 유지보수 수행의무에 대한 매출인식의 조정이 이뤄지고 있음.
유지보수매출의 조정은 엑셀파일로 이뤄지고 있으나 이에 대한 상위권자에 의한 검토 및 승인절차가 구비되어 있지 아니함.
[잠재적위험]
유지보수매출 조정 전표가 부정확하게 계산되거나 부적절하게 기록되어 재무제표에 왜곡이 발생할 위험</t>
    <phoneticPr fontId="2" type="noConversion"/>
  </si>
  <si>
    <t>적절한 상위권자가 유지보수매출 조정 계산내역을 확인하고 조정전표와 계산파일 상의 결과값이 일치하는지 검토 후 전표를 승인하는 프로세스를 구축할 것을 권고함.</t>
    <phoneticPr fontId="2" type="noConversion"/>
  </si>
  <si>
    <t>SD-030</t>
  </si>
  <si>
    <t>채권관리 및 대손상각</t>
  </si>
  <si>
    <t>SD-030-10</t>
  </si>
  <si>
    <t>SD-030-10-10</t>
  </si>
  <si>
    <t>채권이 거래처별, 만기별, 신용거래한도내 거래가 관리되지 아니하여 부실채권이 발생할 위험</t>
    <phoneticPr fontId="4" type="noConversion"/>
  </si>
  <si>
    <t>매출채권은 적절하게 관리되어야 한다.</t>
    <phoneticPr fontId="4" type="noConversion"/>
  </si>
  <si>
    <t>거래처별, 만기별, 신용거래 한도내 채권관리</t>
  </si>
  <si>
    <t>매출채권은 거래처별, 만기별,신용거래 한도내 거래가 되도록 관리되어야 한다.</t>
    <phoneticPr fontId="4" type="noConversion"/>
  </si>
  <si>
    <t>매출채권, 계약자산, 대손충당금, 대손상각비</t>
    <phoneticPr fontId="2" type="noConversion"/>
  </si>
  <si>
    <t>1. 여신관리 규정이 제정되어 적용되고 있으며, 여신관리 규정에 따라 일정 신용등급 이하의 거래처에 대해서는 여신한도를 부여함.
2. 매출계약체결 품의서 작성 시 해당 거래처의 여신한도 및 채권잔액을 기재하여 여신한도를 초과한 주문접수를 방지하고 있음.</t>
    <phoneticPr fontId="4" type="noConversion"/>
  </si>
  <si>
    <t xml:space="preserve">1. 별도의 여신한도를 설정하고 있지 아니하며, 신규거래처의 경우 별도로 거래처에 대한 신용조사는 이뤄지고 있지 아니함. </t>
    <phoneticPr fontId="4" type="noConversion"/>
  </si>
  <si>
    <t>【문서검사】
1. 여신관리 규정이 제정되어 적용되고 있는지 질문한다.
2. 표본기간 중의 매출전표을 모집단으로 하여 표본수에 해당하는 표본을 추출한다.
3. 표본으로 선정된 매출에 대한 계약체결품의서 상 여신한도 및 채건잔액을 기재하고 있는지 문서검사한다.</t>
    <phoneticPr fontId="4" type="noConversion"/>
  </si>
  <si>
    <t>경영지원팀 내
채권담당자</t>
    <phoneticPr fontId="4" type="noConversion"/>
  </si>
  <si>
    <t xml:space="preserve">본 통제활동에서 다루는 거래처별, 만기별, 신용거래 한도내 채권관리는 거래의 연간 발생 빈도 및 중요도를 고려하여 주기를 M로 설정하였으며 통제 수행빈도는 해당 위험의 적시 예방 적발을 위해 적절하다고 판단됨. </t>
  </si>
  <si>
    <t xml:space="preserve">해당 통제와 관련한 중요한 위험인 [채권이 거래처별, 만기별, 신용거래한도내 거래가 관리되지 아니하여 부실채권이 발생할 위험 ]에 대해 완전히 고려되고 있음. </t>
  </si>
  <si>
    <t>고객신용평가절차 및 여신관리규정 구비</t>
    <phoneticPr fontId="4" type="noConversion"/>
  </si>
  <si>
    <t>[현황]
신규거래 발생 시 고객에 대한 신용조사가 이뤄지고 있지 아니하며, 기존 고객에 대하여 신용평가가 주기적으로 이뤄지고 있지 아니함
고객에 대한 신용등급 및 담보력 평가에 대한 여신관리 규정이 미비함.
[잠재적 위험]
여신관리의 미비로 인해 부실채권 발생을 예방하지 못할 위험</t>
    <phoneticPr fontId="2" type="noConversion"/>
  </si>
  <si>
    <t xml:space="preserve">신규 고객에 대한 거래 발생 시 거래처의 신용평가서, 재무제표 등을 입수하여 경영지원팀에서 고객에 대한 신용거래 여부에 대한 승인을 득하는 업무프로세스를 구축하여야 함.
고객을 신용등급에 따라 구분하여 신용등급이 일정 등급 이하인 고객에 대해서는 여신한도를 설정하고, 여신한도를 초과하는 거래에 대해서는 신규 수주를 방지하는 등의 내용이 담긴 여신한도 규정을 신설하여 부실채권의 발생을 예방하는 업무프로세스를 구축하여야 함. </t>
    <phoneticPr fontId="2" type="noConversion"/>
  </si>
  <si>
    <t>SD-030-20</t>
  </si>
  <si>
    <t>SD-030-20-10</t>
  </si>
  <si>
    <t>주기적으로 업체별 채권현황 및 지연현황이 보고되지 않아 부실채권이 발생할 위험</t>
  </si>
  <si>
    <t>미회수채권은 지연사유가 명확히 규명,관리되어야 한다.</t>
  </si>
  <si>
    <t>채권관리현황보고</t>
  </si>
  <si>
    <t>미회수채권은 그 발생원인이 규명되어야 하며 주기적인 상위권자 보고를 통하여 관리되어야 한다.</t>
  </si>
  <si>
    <t>회수기간 초과 채권 확인요청 리스트</t>
    <phoneticPr fontId="4" type="noConversion"/>
  </si>
  <si>
    <t>【질문, 문서검사】
1. 경영지원팀 담당자가 매월 대금 회수 기간을 경과한 채권이 있는지 여부를 검토하고 있는지 질문한다.
2. 회수기간 경과채권에 대해서는 경영지원팀장에게 보고 및 승인 받은 문서를 확인하고, 승인 받은 내용대로 회계처리되었는지 회계전표를 확인한다.</t>
    <phoneticPr fontId="4" type="noConversion"/>
  </si>
  <si>
    <t xml:space="preserve">본 통제활동에서 다루는 채권관리현황보고는 거래의 연간 발생 빈도 및 중요도를 고려하여 주기를 M로 설정하였으며 통제 수행빈도는 해당 위험의 적시 예방 적발을 위해 적절하다고 판단됨. </t>
  </si>
  <si>
    <t xml:space="preserve">해당 통제와 관련한 중요한 위험인 [주기적으로 업체별 채권현황 및 지연현황이 보고되지 않아 부실채권이 발생할 위험 ]에 대해 완전히 고려되고 있음. </t>
  </si>
  <si>
    <t>SD-030-40</t>
    <phoneticPr fontId="4" type="noConversion"/>
  </si>
  <si>
    <t>SD-030-40-10</t>
  </si>
  <si>
    <t>대손충당금이 과소/과다계상되어 채권잔액이 부적절하게 평가될 위험</t>
    <phoneticPr fontId="4" type="noConversion"/>
  </si>
  <si>
    <t>Low</t>
    <phoneticPr fontId="4" type="noConversion"/>
  </si>
  <si>
    <t>Low</t>
    <phoneticPr fontId="4" type="noConversion"/>
  </si>
  <si>
    <t>Low</t>
    <phoneticPr fontId="4" type="noConversion"/>
  </si>
  <si>
    <t>대손충당금은 정확하게 완전하게 기록된다</t>
    <phoneticPr fontId="4" type="noConversion"/>
  </si>
  <si>
    <t>대손충당금의 설정</t>
  </si>
  <si>
    <t>대손충당금은 정확하게 계산되어야 하고, 정확성을 확보할 수 있도록 적절한 검토가 이루어져야 한다.</t>
    <phoneticPr fontId="4" type="noConversion"/>
  </si>
  <si>
    <t>M</t>
    <phoneticPr fontId="4" type="noConversion"/>
  </si>
  <si>
    <t>매출채권, 계약자산, 대손충당금, 대손상각비</t>
    <phoneticPr fontId="2" type="noConversion"/>
  </si>
  <si>
    <t>Q</t>
    <phoneticPr fontId="4" type="noConversion"/>
  </si>
  <si>
    <t>Y</t>
    <phoneticPr fontId="4" type="noConversion"/>
  </si>
  <si>
    <t>더존</t>
    <phoneticPr fontId="4" type="noConversion"/>
  </si>
  <si>
    <t>대손충당금계산파일</t>
    <phoneticPr fontId="4" type="noConversion"/>
  </si>
  <si>
    <t>H</t>
    <phoneticPr fontId="4" type="noConversion"/>
  </si>
  <si>
    <t>H</t>
    <phoneticPr fontId="4" type="noConversion"/>
  </si>
  <si>
    <t>1. 경영지원팀 담당자는 채권 명세서를 기초로 대손충당금 금액을 산출한 후 계산내역을 첨부하여 대손충당금 전표를 상신한다.
2. 전결권자는 담당자가 작성한 대손충당금 회계전표와 첨부된 대손충당금 계산내역에 대하 다음의 관점에서 검토 후 승인한다.
- 계산파일 상의 매출채권 잔액이 결산일 현재 매출채권 잔액과 일치하는지를 확인
- 연령분석표 상 매출채권의 연령이 ERP 상에서 산출된 연령과 일치하는지를 확인
- 손실률 추정에 대한 계산로직의 변경사항이 존재하는지와 산출된 계산내역이 적절한지 확인</t>
    <phoneticPr fontId="4" type="noConversion"/>
  </si>
  <si>
    <t>IFRS적용에 따른 대손충당금 조정과 관련한 프로세스는 현재 별도로 존재하지 않음</t>
    <phoneticPr fontId="4" type="noConversion"/>
  </si>
  <si>
    <t>매출채권 대손전표</t>
    <phoneticPr fontId="4" type="noConversion"/>
  </si>
  <si>
    <t>【문서검사】
1. 표본기간 중의 대손충당금 전표을 모집단으로 하여 표본수에 해당하는 표본을 추출한다.
2. 표본으로 선정된 기간에 대한 대손충당금 결산전표와 계산근거를 수령한다.
3. 전표 금액과 계산 근거가 일치하는지 확인한다.
4. 대손충당금 전표 상 경영지원팀장의 승인이 있는지 확인한다.</t>
    <phoneticPr fontId="4" type="noConversion"/>
  </si>
  <si>
    <t xml:space="preserve">본 통제활동에서 다루는 대손충당금의 설정는 거래의 연간 발생 빈도 및 중요도를 고려하여 주기를 Q로 설정하였으며 통제 수행빈도는 해당 위험의 적시 예방 적발을 위해 적절하다고 판단됨. </t>
  </si>
  <si>
    <t xml:space="preserve">해당 통제와 관련한 중요한 위험인 [대손충당금이 과소/과다계상되어 채권잔액이 부적절하게 평가될 위험 ]에 대해 완전히 고려되고 있음. </t>
  </si>
  <si>
    <t>대손충당금 검증 및 승인절차</t>
    <phoneticPr fontId="4" type="noConversion"/>
  </si>
  <si>
    <t>[현황]
대손충당금은 채권연령분석표에 따라 엑셀파일로 계산되고 있으나 계산파일에 대한 상위권자에 의한 검토 및 대손충당금 전표에 대한 승인절차가 구비되어 있지 아니함.
[잠재적위험]
대손충당금 계산내역에 대한 상위권자의 검토 및 승인절차가 구비되어 있지 않음에 따라 조정전표가 부적절하게 기표되어 재무제표에 왜곡이 발생할 위험</t>
    <phoneticPr fontId="2" type="noConversion"/>
  </si>
  <si>
    <t>상위권자가 분기별로 계산된 대손충당금 산출내역을 확인하고 관련전표와 계산파일 상의 내역이 일치하는지 검토 후 승인하는 프로세스를 개선할 것을 권고함.</t>
    <phoneticPr fontId="2" type="noConversion"/>
  </si>
  <si>
    <t>SD-040</t>
  </si>
  <si>
    <t>마스터 데이터 관리</t>
  </si>
  <si>
    <t>SD-040-10</t>
  </si>
  <si>
    <t>SD-040-10-20</t>
  </si>
  <si>
    <t>승인 받지 않은 고객정보가 입력되어 마스터테이터가 부적절하게 등록될 위험.
권한없는 자의 마스터데이터 접근으로 인하여 잘못된 정보가 입력될 위험.</t>
    <phoneticPr fontId="4" type="noConversion"/>
  </si>
  <si>
    <t>마스터 데이터는 정확하게 관리되어야 한다.</t>
  </si>
  <si>
    <t>고객마스터데이터에 대한 접근통제</t>
  </si>
  <si>
    <t>고객파일에 대한 접근은 수정권한이 있는 부서로 한정되어 관리되어야 한다.</t>
  </si>
  <si>
    <t>매출, 매출채권, 계약자산, 계약부채, 부가가치세예수금</t>
    <phoneticPr fontId="2" type="noConversion"/>
  </si>
  <si>
    <t>A</t>
    <phoneticPr fontId="4" type="noConversion"/>
  </si>
  <si>
    <t>1. 거래처 마스터파일은 영업팀에서 관리하고 있으며, 세금계산서 발행 등은 각 부서에서 건별로 요청시 첨부된 자료에 따라 이루어지고 있음.</t>
    <phoneticPr fontId="4" type="noConversion"/>
  </si>
  <si>
    <t>접근권한 리스트</t>
    <phoneticPr fontId="4" type="noConversion"/>
  </si>
  <si>
    <t>【문서검사】
1. 접근권한 리스트를 요청하여 담당자 이외의 자의 접근이 가능한지 문서검사한다.</t>
    <phoneticPr fontId="4" type="noConversion"/>
  </si>
  <si>
    <t>경영지원팀 내
채권담당자</t>
    <phoneticPr fontId="4" type="noConversion"/>
  </si>
  <si>
    <t xml:space="preserve">본 통제활동에서 다루는 고객마스터데이터에 대한 접근통제는 거래의 연간 발생 빈도 및 중요도를 고려하여 주기를 A로 설정하였으며 통제 수행빈도는 해당 위험의 적시 예방 적발을 위해 적절하다고 판단됨. </t>
  </si>
  <si>
    <t xml:space="preserve">해당 통제와 관련한 중요한 위험인 [승인 받지 않은 고객정보가 입력되어 마스터테이터가 부적절하게 등록될 위험.
권한없는 자의 마스터데이터 접근으로 인하여 잘못된 정보가 입력될 위험. ]에 대해 완전히 고려되고 있음. </t>
  </si>
  <si>
    <t>고객마스터에 대한 접근권한 관리</t>
    <phoneticPr fontId="4" type="noConversion"/>
  </si>
  <si>
    <t>[현황]
고객마스터파일은 영업팀에서 관리하고 있으며, 고객마스터파일에 대한 접근 및 변경권한은 제한되어 있지 아니함.
[잠재적 위험]
고객마스터에 대한 접근 통제 미비로 가공의 거래처 등록을 예방하지 못할 위험</t>
    <phoneticPr fontId="2" type="noConversion"/>
  </si>
  <si>
    <t>고객마스터파일은 중앙(경영지원팀 등)에서 일원적으로 관리하여야 하며, 각 인원별로 접근권한을 부여하고 접근권한리스트를 주기적으로 확인하여 권한부여가 적절하게 되어 있는지 확인해야 함</t>
    <phoneticPr fontId="2" type="noConversion"/>
  </si>
  <si>
    <t>TR</t>
  </si>
  <si>
    <t>자금관리</t>
  </si>
  <si>
    <t>TR-010</t>
    <phoneticPr fontId="2" type="noConversion"/>
  </si>
  <si>
    <t>입출금관리</t>
  </si>
  <si>
    <t>TR-010-10</t>
    <phoneticPr fontId="2" type="noConversion"/>
  </si>
  <si>
    <t>TR-010-10-10</t>
  </si>
  <si>
    <t>대금의 입금은 정당한 절차를 거쳐 이루어지고, 입금내역은 적시에 적절한 회계계정으로 기록되어야 한다.</t>
  </si>
  <si>
    <t>high</t>
  </si>
  <si>
    <t>대금의 입금이 정당한 절차를 거치지 않을 경우 입금의 누락이 발생할 수 있으며, 입금내역이 적시에 기록되지 않거나 정확한 상대계정이 부여되지 않을 경우, 예금 및 채권이 정확하지 않게 재무제표에 기표될 가능성이 존재함.</t>
    <phoneticPr fontId="5" type="noConversion"/>
  </si>
  <si>
    <t>입금내역의 반영</t>
  </si>
  <si>
    <t>입금내역은 적시에 장부에 반영되어야 한다.</t>
  </si>
  <si>
    <t>현금성자산, 매출채권</t>
    <phoneticPr fontId="2" type="noConversion"/>
  </si>
  <si>
    <t>D</t>
    <phoneticPr fontId="4" type="noConversion"/>
  </si>
  <si>
    <t>L</t>
    <phoneticPr fontId="4" type="noConversion"/>
  </si>
  <si>
    <t xml:space="preserve">1. 회사는 대부분의 매출대금을 현금으로 회수하고 있으며, 일부거래처에 대해서는 전자어음을 수령하고 있음(전자어음의 경우 은행을 통해 만기 입금이 이루어짐)
2. 별도의 자금과 관련한 일마감 절차 등은 수행하고 있지 않으며, 이에 따라 즉시 입금처리가 이루어지지 않는 경우가 존재함. </t>
    <phoneticPr fontId="4" type="noConversion"/>
  </si>
  <si>
    <t>통장, 회계전표, 일계표</t>
    <phoneticPr fontId="4" type="noConversion"/>
  </si>
  <si>
    <t xml:space="preserve">【문서검사】
1. 표본기간 중의 보통예금통장상의 입금내역을 모집단으로 하여 표본수에 해당하는 표본을 추출한다.
2. 보통예금통장상의 입금내역과 매출채권 회수 관련 회계전표의 입금일자가 일치하는지 확인한다.
3. 보통예금 입금일의 일계표를 징구하여 일계표상 동 입금내역이 적절히 기재되어 있음을 확인한다. </t>
    <phoneticPr fontId="4" type="noConversion"/>
  </si>
  <si>
    <t>경영지원팀 자금전결권자</t>
    <phoneticPr fontId="4" type="noConversion"/>
  </si>
  <si>
    <t xml:space="preserve">본 통제활동에서 다루는 입금내역의 반영는 거래의 연간 발생 빈도 및 중요도를 고려하여 주기를 D로 설정하였으며 통제 수행빈도는 해당 위험의 적시 예방 적발을 위해 적절하다고 판단됨. </t>
  </si>
  <si>
    <t xml:space="preserve">해당 통제와 관련한 중요한 위험인 [대금의 입금은 정당한 절차를 거쳐 이루어지고, 입금내역은 적시에 적절한 회계계정으로 기록되어야 한다. ]에 대해 완전히 고려되고 있음. </t>
  </si>
  <si>
    <t>입금관련 업무분장 및 채권의 회수관리</t>
    <phoneticPr fontId="4" type="noConversion"/>
  </si>
  <si>
    <t xml:space="preserve">[현황]
자금 담당자는 매출발생시 전표처리를 실시하고, 매출채권 입금시에는 통장에서 입금내역(입금자, 입금액, 입금일자)을 확인하고, 직접 입금처리를 실시하는 한편, 월별로 거래처별 채권리스트를 작성하여 영업부서에 전달하고 있음. . 
자금담당자는 통장별로 입금과 출금, 잔액을 확인할 수 있으나 동 거래내역을 근거로 즉시 전표처리를 실시하지 않으며, 일부 채권에 대해서는 월차 결산시에 일괄하여 전표처리를 실시함.
[잠재적위험]
실질적인 매출채권의 관리부서인 영업부서가 아닌 경영지원팀에서 매출의 회계처리, 채권의 관리 및 입금에 대한 회계처리를 실시하고 있음에 따라, 매출계상 및 입금내역에 대한 부적절한 회계처리가 발생할 가능성이 있으며, 업무분장의 관점에서 적절하지 않음. 
또한, 입금과 관련한 회계처리가 즉시 이루어져 관련 회계처리에 대한 검토가 이루어지지 않음에 따라, 회계처리상의 오류를 적시에 발견하지 못할 수 있으며, 거래처의 회수지연 등의 사유에 대해서 지속적인 관리가 이루어지지 않을 수 있음. </t>
    <phoneticPr fontId="2" type="noConversion"/>
  </si>
  <si>
    <t xml:space="preserve">입금과 관련한 내역을 채권의 관리 담당부서인 영업부서에서 직접 확인하여 회계처리를 실시하고, 경영지원팀에서는 회계처리 및 자금운용 관점에서 이를 검토하도록 업무분장을 구분하는 것이 적절함. 
또한, 입금과 관련한 회계처리는 입금 즉시 이루어지는 한편 자금현황에 반영되어 장부상잔액과 자금현황이 일치하는지에 대해 수시로 검토 및 보고하는 프로세스가 구축되어야 함. 
</t>
    <phoneticPr fontId="2" type="noConversion"/>
  </si>
  <si>
    <t>TR-010</t>
    <phoneticPr fontId="2" type="noConversion"/>
  </si>
  <si>
    <t>TR-010-10</t>
    <phoneticPr fontId="2" type="noConversion"/>
  </si>
  <si>
    <t>TR-010-10-20</t>
  </si>
  <si>
    <t>대금의 입금이 정당한 절차를 거치지 않을 경우 입금의 누락이 발생할 수 있으며, 입금내역이 적시에 기록되지 않거나 정확한 상대계정이 부여되지 않을 경우, 예금 및 채권이 정확하지 않게 재무제표에 기표될 가능성이 존재함.</t>
    <phoneticPr fontId="5" type="noConversion"/>
  </si>
  <si>
    <t>입금의 반제처리</t>
  </si>
  <si>
    <t>입금내역은 관련 채권과 적절히 상계되고 검토되어야 한다.</t>
  </si>
  <si>
    <t>D</t>
    <phoneticPr fontId="4" type="noConversion"/>
  </si>
  <si>
    <t>더존</t>
    <phoneticPr fontId="4" type="noConversion"/>
  </si>
  <si>
    <t>1. 경영지원팀의 자금담당자는 입금내역에 대해 경영지원팀에서 관리하고 있는 거래처별 채권리스트와 비교확인을 실시함.
2. 주거래통장과 과련한 입금처리는 더존의 입금전송기능을 사용하여 채권과의 매칭을 통해 수행하고, 기타의 통장과 관련한 입금처리는 직접 전표를 작성하고 있음.
3. 입금처리에 있어 확인이 어려운 채권이 존재하는 경우 영업팀에 채권리스트를 송부하여 해당 채권에 대한 문의를 진행하고 있으며, 월별로 입금처리가 완료된 거래처별 채권리스트를 작성하여 영업팀에 송부하고 있음.</t>
    <phoneticPr fontId="4" type="noConversion"/>
  </si>
  <si>
    <t>통장, 회계전표, 매출채권명세서</t>
    <phoneticPr fontId="4" type="noConversion"/>
  </si>
  <si>
    <t xml:space="preserve">【문서검사】
1. 표본기간 중의 보통예금통장상의 입금내역을 모집단으로 하여 표본수에 해당하는 표본을 추출한다.
2. 보통예금통장상의 입금내역과 매출채권 회수 관련 회계전표의 거래처, 입금액이 일치하는지 확인한다.
3. 해당 입금된 금액과 관련한 매출채권 계상전표를 징구하여 매출채권계상액과 입금액이 일치하는지를 확인하고, 차이가 발생한 경우에는 차이내역에 대해 문의한다. </t>
    <phoneticPr fontId="4" type="noConversion"/>
  </si>
  <si>
    <t xml:space="preserve">본 통제활동에서 다루는 입금의 반제처리는 거래의 연간 발생 빈도 및 중요도를 고려하여 주기를 D로 설정하였으며 통제 수행빈도는 해당 위험의 적시 예방 적발을 위해 적절하다고 판단됨. </t>
  </si>
  <si>
    <t>입금관련 업무분장 및 채권의 회수관리</t>
    <phoneticPr fontId="4" type="noConversion"/>
  </si>
  <si>
    <t xml:space="preserve">[현황]
자금 담당자는 매출발생시 전표처리를 실시하고, 매출채권 입금시에는 통장에서 입금내역(입금자, 입금액, 입금일자)을 확인하고, 직접 입금처리를 실시하는 한편, 월별로 거래처별 채권리스트를 작성하여 영업부서에 전달하고 있음. . 
자금담당자는 통장별로 입금과 출금, 잔액을 확인할 수 있으나 동 거래내역을 근거로 즉시 전표처리를 실시하지 않으며, 일부 채권에 대해서는 월차 결산시에 일괄하여 전표처리를 실시함.
[잠재적위험]
실질적인 매출채권의 관리부서인 영업부서가 아닌 경영지원팀에서 매출의 회계처리, 채권의 관리 및 입금에 대한 회계처리를 실시하고 있음에 따라, 매출계상 및 입금내역에 대한 부적절한 회계처리가 발생할 가능성이 있으며, 업무분장의 관점에서 적절하지 않음. 
또한, 입금과 관련한 회계처리가 즉시 이루어져 관련 회계처리에 대한 검토가 이루어지지 않음에 따라, 회계처리상의 오류를 적시에 발견하지 못할 수 있으며, 거래처의 회수지연 등의 사유에 대해서 지속적인 관리가 이루어지지 않을 수 있음. </t>
    <phoneticPr fontId="2" type="noConversion"/>
  </si>
  <si>
    <t xml:space="preserve">입금과 관련한 내역을 채권의 관리 담당부서인 영업부서에서 직접 확인하여 회계처리를 실시하고, 경영지원팀에서는 회계처리 및 자금운용 관점에서 이를 검토하도록 업무분장을 구분하는 것이 적절함. 
또한, 입금과 관련한 회계처리는 입금 즉시 이루어지는 한편 자금현황에 반영되어 장부상잔액과 자금현황이 일치하는지에 대해 수시로 검토 및 보고하는 프로세스가 구축되어야 함. 
</t>
    <phoneticPr fontId="2" type="noConversion"/>
  </si>
  <si>
    <t>TR-010</t>
    <phoneticPr fontId="2" type="noConversion"/>
  </si>
  <si>
    <t>TR-010-20</t>
    <phoneticPr fontId="2" type="noConversion"/>
  </si>
  <si>
    <t>TR-010-20-10</t>
  </si>
  <si>
    <t xml:space="preserve">대금 지급은 승인된 계좌 또는 거래처에 대해서만 이루어져야 한다. </t>
  </si>
  <si>
    <t xml:space="preserve">승인되지 않은 거래처 또는 계좌로 대금이 지급될 가능성이 존재함. </t>
    <phoneticPr fontId="5" type="noConversion"/>
  </si>
  <si>
    <t>거래처 계좌 마스터관리</t>
  </si>
  <si>
    <t xml:space="preserve">거래처 계좌마스터는 접근이 제한되어 있으며, 변경사항에 대하여 승인권자의 승인을 득하여야 한다. </t>
  </si>
  <si>
    <t>현금성자산, 마자급금, 부가세예수금, 당기법인세부채, 미지급비용, 유동성장기부채, 리스부채, 장기차입금</t>
    <phoneticPr fontId="2" type="noConversion"/>
  </si>
  <si>
    <t xml:space="preserve">1. 자금팀담당자는 거래처계좌마스터를 별도로 관리하고 있으며, 거래처 계좌마스터는 자금팀담당자만이 수정할 수 있도록 제한되어 있음. 
2. 계좌마스터를 추가 또는 변경사유가 발생하면 현업에서 거래처계좌변경신청서를 작성하는 한편 관련 증빙(사업자등록증사본, 통장사본)을 첨부하여 현업부서장의 승인을 득한 후 자금담당자에게 송부하며, 자금담당자는 변경신청서에 근거하여 거래처계좌마스터를 수정함. 
3. 수정된 계좌마스터는 전결권자에 의해 수정의 적절성이 검토되는 한편, 검토 완료 된 계좌마스터는 접근제한 하에 관리가 이루어져 임의수정이 제한됨. </t>
    <phoneticPr fontId="4" type="noConversion"/>
  </si>
  <si>
    <t xml:space="preserve">1. 자금지출시 자금담당자가 출금결의서를 작성하고 있으며, 출금결의서상 거래처에 대한 계좌정보를 직접 입력함.
2. 거래처에 대한 계좌마스터가 별도로 존재하는 것은 아니며, 기존에 작성된 출금결의서상의 계좌정보를 다시 입력하여 작성하고 있음.
3. 신규거래처에 대해서는 통장사본, 사업자등록증사본을 징구하여 계좌번호를 확인하여 출금결의서를 작성하고 있음. </t>
    <phoneticPr fontId="4" type="noConversion"/>
  </si>
  <si>
    <t>거래처계좌리스트</t>
    <phoneticPr fontId="4" type="noConversion"/>
  </si>
  <si>
    <t>【문서검사 및 관찰】
1. 거래처계좌리스트를 징구하여 암호가 부여되어 있고, 승인권자 외의 담당자가 임의로 변경하지 못하도록 제한되어 있는지를 관찰한다. 
2. 해당기간의 거래처 등록/변경신청서 중 2건을 징구하여 다음을 확인한다.
- 현업부서 및 관리부 전결권자의 승인을 득하였는지 여부
- 등록/변경신청서상의 거래처 및 계좌정보와 거래처계좌리스트상의 거래처 및 계좌정보가 상호 일치하는지 여부</t>
    <phoneticPr fontId="4" type="noConversion"/>
  </si>
  <si>
    <t xml:space="preserve">본 통제활동에서 다루는 거래처 계좌 마스터관리는 거래의 연간 발생 빈도 및 중요도를 고려하여 주기를 A로 설정하였으며 통제 수행빈도는 해당 위험의 적시 예방 적발을 위해 적절하다고 판단됨. </t>
  </si>
  <si>
    <t xml:space="preserve">해당 통제와 관련한 중요한 위험인 [대금 지급은 승인된 계좌 또는 거래처에 대해서만 이루어져야 한다.  ]에 대해 완전히 고려되고 있음. </t>
  </si>
  <si>
    <t>거래처 계좌관리 및 지출절차의 통제</t>
    <phoneticPr fontId="4" type="noConversion"/>
  </si>
  <si>
    <t xml:space="preserve">[현황]
거래처의 계좌정보를 포함한 거래처 마스터에 대한 관리가 이루어지지 않음에 따라, 거래처마스터의 등록, 변경 등과 관련한 승인 및 적절한 등록 및 변경여부에 대한 내부검토절차가 존재하지 않음. 
이체리스트 및 인터넷뱅킹을 통한 자금이체에 있어 자금담당자가 과거 지출내역에 근거하여 직접 거래처 계좌정보를 입력하고 있으며, 동 입력되는 계좌정보가 사전에 승인 및 검토된 계좌정보와 일치하는지를 검토 및 승인하는 절차 등이 존재하지 않음. 
[잠재적위험]
자금의 지출에 있어 사전에 승인 및 검토된 계좌로만 이체할 수 있도록 내부통제를 구비하지 않을 경우, 부당한 자금의 지출 등을 예방 혹은 적시에 발견하지 못할 가능성이 존재함. 
또한, 이체파일 및 인터넷뱅킹에 의한 지급에 있어 계좌정보 등을 담당자가 직접 입력하는 방식 하에서는 동일 거래처에 대한 이중 지출, 승인받지 않은 자금의 지출 등이 발생할 가능성이 존재함. 
</t>
    <phoneticPr fontId="2" type="noConversion"/>
  </si>
  <si>
    <t>TR-010-20</t>
    <phoneticPr fontId="2" type="noConversion"/>
  </si>
  <si>
    <t>TR-010-20-20</t>
  </si>
  <si>
    <t>채새롬</t>
  </si>
  <si>
    <t xml:space="preserve">승인되지 않은 거래처 또는 계좌로 대금이 지급될 가능성이 존재함. </t>
    <phoneticPr fontId="5" type="noConversion"/>
  </si>
  <si>
    <t>자금 관련 지정계좌로의 입출통제</t>
  </si>
  <si>
    <t>자금의 출금은 사전에 승인된 계좌에 대해서만 이루어져야 한다.</t>
  </si>
  <si>
    <t>W</t>
    <phoneticPr fontId="4" type="noConversion"/>
  </si>
  <si>
    <t xml:space="preserve">1. 별도의 일별자금지출계획서 등은 작성되지 않으며, 정기결제일 및 필요에 따라 자금담당자가 자금지출일에 출금결의서를 작성하고 있음.
2. 자금지출시 자금담당자가 출금결의서를 작성하고 있으며, 출금결의서상 거래처에 대한 계좌정보를 직접 입력함.
3. 출금결의서는 관련 증빙(사전에 승인이 완료된 지출결의서, 카드사용내역, 관련 증빙)과 함께 CFO로부터의 승인을 득하고 있음. 
4. CFO는 승인 후 직접 인터넷뱅킹을 통해 자금지출 절차를 진행함. </t>
    <phoneticPr fontId="4" type="noConversion"/>
  </si>
  <si>
    <t>출금결의서, 미지급리스트, 이체파일, 거래처계좌리스트</t>
    <phoneticPr fontId="4" type="noConversion"/>
  </si>
  <si>
    <t xml:space="preserve">【문서검사 및 관찰】
1. 표본기간 중의 출금결의서를 모집단으로 하여 표본수에 해당하는 표본을 추출하여 다음을 확인한다. 
- 미지급금리스트를 징구하여 출금결의서상 자금지출내역이 미지급금리스트와 일치하는지 확인한다.
- 이체파일을 징구하여 이체파일과 출금결의서가 일치하는지 확인한다.
- 거래처계좌리스트를 징구하여 출금결의서, 이체파일상의 거래처계좌가 거래처계좌리스트와 일치하는지 확인한다.
- 출금결의서 및 이체파일에 대해 전결권자의 승인을 득하였는지  확인한다. </t>
    <phoneticPr fontId="4" type="noConversion"/>
  </si>
  <si>
    <t xml:space="preserve">본 통제활동에서 다루는 자금 관련 지정계좌로의 입출통제는 거래의 연간 발생 빈도 및 중요도를 고려하여 주기를 W로 설정하였으며 통제 수행빈도는 해당 위험의 적시 예방 적발을 위해 적절하다고 판단됨. </t>
  </si>
  <si>
    <t>거래처 계좌관리 및 지출절차의 통제</t>
    <phoneticPr fontId="4" type="noConversion"/>
  </si>
  <si>
    <t xml:space="preserve">[현황]
거래처의 계좌정보를 포함한 거래처 마스터에 대한 관리가 이루어지지 않음에 따라, 거래처마스터의 등록, 변경 등과 관련한 승인 및 적절한 등록 및 변경여부에 대한 내부검토절차가 존재하지 않음. 
이체리스트 및 인터넷뱅킹을 통한 자금이체에 있어 자금담당자가 과거 지출내역에 근거하여 직접 거래처 계좌정보를 입력하고 있으며, 동 입력되는 계좌정보가 사전에 승인 및 검토된 계좌정보와 일치하는지를 검토 및 승인하는 절차 등이 존재하지 않음. 
[잠재적위험]
자금의 지출에 있어 사전에 승인 및 검토된 계좌로만 이체할 수 있도록 내부통제를 구비하지 않을 경우, 부당한 자금의 지출 등을 예방 혹은 적시에 발견하지 못할 가능성이 존재함. 
또한, 이체파일 및 인터넷뱅킹에 의한 지급에 있어 계좌정보 등을 담당자가 직접 입력하는 방식 하에서는 동일 거래처에 대한 이중 지출, 승인받지 않은 자금의 지출 등이 발생할 가능성이 존재함. 
</t>
    <phoneticPr fontId="2" type="noConversion"/>
  </si>
  <si>
    <t>TR-010</t>
    <phoneticPr fontId="2" type="noConversion"/>
  </si>
  <si>
    <t>TR-010-20-30</t>
  </si>
  <si>
    <t xml:space="preserve">승인되지 않은 거래처 또는 계좌로 대금이 지급될 가능성이 존재함. </t>
    <phoneticPr fontId="5" type="noConversion"/>
  </si>
  <si>
    <t>인터넷뱅킹의 이중보안</t>
  </si>
  <si>
    <t>지급 관련하여 인터넷 뱅킹을 사용할 경우, 모든 거래에 대하여 이중승인을 득한 후 이루어진다.</t>
  </si>
  <si>
    <t>P</t>
    <phoneticPr fontId="4" type="noConversion"/>
  </si>
  <si>
    <t>현금성자산</t>
    <phoneticPr fontId="2" type="noConversion"/>
  </si>
  <si>
    <t xml:space="preserve">1. 자금담당자는 출금결의서의 승인을 득한 후 이체리스트의 업로드를 통해 인터넷뱅킹상 이체등록을 실시함. 이체등록 후 전결권자는 인터넷뱅킹에 로그인한 후 이체 패스워드를 입력하는 한편, 보안카드 암호를 입력하여 최종 자금지출을 승인함.
2. 회사의 모든 계좌와 관련한 인터넷뱅킹은 이중으로 보안되어 있으며, 모든 이체 건에 대하여 이중승인을 득하여만 자금의 지급이 이루어지도록 되어 있음. 
3. 최종 승인자는 동 승인에 있어 결제내역 및 출금결의서상의 승인내역과의 비교를 통한 검토를 수행하고 있음.  </t>
    <phoneticPr fontId="4" type="noConversion"/>
  </si>
  <si>
    <t xml:space="preserve">1. CFO가 직접 인터넷뱅킹을 통한 지급, 급여관련 이체리스트의 은행 송부를 진행하고 있음.
2. 자금지출절차를 CFO 1인이 수행함에 따라 별도의 인터넷뱅킹에 대한 2중 통제는 이루어지지 않음. 
</t>
    <phoneticPr fontId="4" type="noConversion"/>
  </si>
  <si>
    <t>N/A</t>
    <phoneticPr fontId="4" type="noConversion"/>
  </si>
  <si>
    <t xml:space="preserve">【재수행 및 문서검사】
1. 인터넷 뱅킹화면을 조회하고, 담당자의 ID 및 PASSWORD, 보안카드를 입수하여,  담당자 1인의 ID 및 PASSWORD, 보안카드만으로 자금의 이체가 이루어지는지를 재수행한다.
2. 인터넷뱅킹과 관련한 ID 및 PASSWORD는 2인에 의해 나누어 관리되고 있는지에 대해서 확인한다. 
3. 표본기간 중 특정일의 자금이체내역을 징구하여 승인받은 출금결의서, 이체리스트와 출금내역이 일치(거래처, 금액, 계좌번호)하는지를 확인한다. </t>
    <phoneticPr fontId="4" type="noConversion"/>
  </si>
  <si>
    <t xml:space="preserve">본 통제활동에서 다루는 인터넷뱅킹의 이중보안는 거래의 연간 발생 빈도 및 중요도를 고려하여 주기를 A로 설정하였으며 통제 수행빈도는 해당 위험의 적시 예방 적발을 위해 적절하다고 판단됨. </t>
  </si>
  <si>
    <t>인터넷 뱅킹의 이중관리 절차</t>
    <phoneticPr fontId="4" type="noConversion"/>
  </si>
  <si>
    <t xml:space="preserve">[현황]
회사는 모든 거래은행에 대한 인터넷뱅킹을 사용하고 있으나,  패스워드의 이중관리가 이루어지지 않음. 
또한 인터넷뱅킹과 관련한 패스워드 및 OTP카드를 자금담당자 1인이 직접 관리하고 있음에 따라 적절한 이중지급절차가 이루어지고 있지 않음.
[잠재적위험]
인터넷뱅킹에 대한 2중관리가 이루어지지 않음에 따라 승인받지 않은 자금의 출금이 임의적으로 발생할 수 있으며, 부당한 자금의 사용을 적시에 발견하지 못할 가능성이 존재함. 
</t>
    <phoneticPr fontId="2" type="noConversion"/>
  </si>
  <si>
    <t xml:space="preserve">인터넷 뱅킹과 관련하여 2중의 담당자 승인권한을 부여하고, 이에 대한 통제를 실시하여 예기치 못한 자금의 사용을 방지하도록 해야함. 
</t>
    <phoneticPr fontId="2" type="noConversion"/>
  </si>
  <si>
    <t>TR-010-30</t>
    <phoneticPr fontId="2" type="noConversion"/>
  </si>
  <si>
    <t>TR-010-30-10</t>
  </si>
  <si>
    <t>대금 지급은 정확하고 적시에 이루어져야 하고 적정하게 기입되어야 한다.</t>
  </si>
  <si>
    <t xml:space="preserve">대금 지급이 과다 또는 과소하게 이루어지거나, 완전하게 이루어지지 않아 거래처와의 대금 지급 기일을 준수하지 못할 수 있으며, 대금 지급을 적시에 처리하지 않거나 누락하여, 거래처와의 분쟁 및 부채가 과대 계상될 가능성이 존재함. </t>
    <phoneticPr fontId="5" type="noConversion"/>
  </si>
  <si>
    <t>대금 지급에 대한 전표 처리</t>
  </si>
  <si>
    <t>대금지급 내역은 누락없이 회계전표에 기록되어 총계정원장에 반영되어야 한다.</t>
  </si>
  <si>
    <t>현금성자산, 마자급금, 부가세예수금, 당기법인세부채, 미지급비용, 유동성장기부채, 리스부채, 장기차입금</t>
    <phoneticPr fontId="2" type="noConversion"/>
  </si>
  <si>
    <t>W</t>
    <phoneticPr fontId="4" type="noConversion"/>
  </si>
  <si>
    <t xml:space="preserve">1. 자금지출이 완료된 경우 경영지원팀 자금담당자가 지출내역에 근거하여 회계전표를 작성하고 있음.
2. 전표의 작성은 별도의 작성기한 없이 이루어지고 있으며, 자금지출 전표에 대한 별도의 검토 및 승인절차가 존재하지 않음. </t>
    <phoneticPr fontId="4" type="noConversion"/>
  </si>
  <si>
    <t>자금지출전표, 자금지출내역, 자금일계표</t>
    <phoneticPr fontId="4" type="noConversion"/>
  </si>
  <si>
    <t>【문서검사】
1. 표본기간 중 보통예금통장의 자금지출내역을 모집단으로 하여 표본수에 해당하는 표본을 추출하여 다음을 확인한다. 
- 통장상의 출금일, 출금액과 출금전표상의 출금일, 출금액이 일치하는지 여부
- 출금전표에 대하여 전결권자의 승인을 득하였는지 여부
- 출금내역이 자금일계표에 적절히 기재되어 승인을 득하였는지 여부</t>
    <phoneticPr fontId="4" type="noConversion"/>
  </si>
  <si>
    <t xml:space="preserve">본 통제활동에서 다루는 대금 지급에 대한 전표 처리는 거래의 연간 발생 빈도 및 중요도를 고려하여 주기를 W로 설정하였으며 통제 수행빈도는 해당 위험의 적시 예방 적발을 위해 적절하다고 판단됨. </t>
  </si>
  <si>
    <t xml:space="preserve">해당 통제와 관련한 중요한 위험인 [대금 지급은 정확하고 적시에 이루어져야 하고 적정하게 기입되어야 한다. ]에 대해 완전히 고려되고 있음. </t>
  </si>
  <si>
    <t>자금관련 일마감절차의 수립</t>
    <phoneticPr fontId="4" type="noConversion"/>
  </si>
  <si>
    <t xml:space="preserve">[현황]
회사는 자금과 관련한 별도의 마감절차를 구비하고 있지 않음에 따라, 입금 및 출금과 관련한 회계처리가 즉시 이루어지지 않고 있음. 
또한, 자금에 대한 일마감절차가 존재하지 않으며, 별도의 자금일계표 등의 작성 및 검토가 수행되지 아니함.
[잠재적 위험]
대금의 수취 및 대금의 지급에 대한 회계처리가 적시에 이루어지지 않고, 자금현황에 대한 보고가 수시로 이루어지지 않아 자금과 관련하여 발생할 수 있는 오류 및 부정을 적시에 발견하지 못할 가능성이 존재함. 
</t>
    <phoneticPr fontId="2" type="noConversion"/>
  </si>
  <si>
    <t xml:space="preserve">자금의 유용 등을 사전에 방지하고 적시에 발견할 수 있도록 다음을 포함한 자금의 일마감절차를 수립해야함. 
- 자금과 관련한 입금 및 출금전표는 거래발생 즉시 작성 및 검토가 이루어질 수 있도록 해야함.
- 자금의 입금 및 출금, 회사가 보유한 자금(은행별/금융상품별예금, 현금시재액)을 포함한 일계표를 작성하여 일계표에 대한 일별 보고 및 승인절차를 구비해야함.
- 일계표상의 금융상품 잔액이 회계상의 잔액과 일치하는 지에 대해 수시로 확인이루어져야하며, 정기적으로 각 은행별 계좌잔고증명서를 수취하여 회계상의 금융상품잔액, 일계표상의 금융상품잔액과 일치하는지 확인하고 검토, 승인하는 절차를 구비해야함. </t>
    <phoneticPr fontId="2" type="noConversion"/>
  </si>
  <si>
    <t>TR-010-40</t>
    <phoneticPr fontId="2" type="noConversion"/>
  </si>
  <si>
    <t>TR-010-40-10</t>
  </si>
  <si>
    <t>자금은 수립된 자금계획에 따라 운영되어야 한다.</t>
  </si>
  <si>
    <t>자금계획에 명시되지 않은 중요한 자금유출입으로 인하여 자금부족 및 잉여자금이 발생할 가능성이 존재함.</t>
    <phoneticPr fontId="5" type="noConversion"/>
  </si>
  <si>
    <t>일자금계획의 수행 및 일자금수지의 검토</t>
  </si>
  <si>
    <t xml:space="preserve"> 일자금수지(매일의 현금시재 포함) 는 검토되며, 전결권자의 승인을 득한다.</t>
  </si>
  <si>
    <t xml:space="preserve">1. 일자금수지 및 보유하는 계좌잔고, 현금시재에 대해 보고하는 별도의 절차를 구비하지 않음
2. 월별로 각 은행별/계좌별 잔고와 회계장부상의 잔액이 일치하는지를 CFO가 검토하고 있으나 별도의 보고 및 문서화가 이루어지지 않음. </t>
    <phoneticPr fontId="4" type="noConversion"/>
  </si>
  <si>
    <t>자금일계표, 통장잔고증명서</t>
    <phoneticPr fontId="4" type="noConversion"/>
  </si>
  <si>
    <t>【문서검사】
1. 표본기간 중 해당월의 마지막날 자금일계표를 모집단으로 하여 표본수에 해당하는 표본을 추출하여 다음을 확인한다. 
- 일계표상의 시재와 회계상의 시재가 일치하는지 여부
- 일계표에 대해 적절한 승인권자의 승인을 득하고 보관되는지 여부
- 일계표상의 시재와 당일 은행으로부터의 잔고증명서상의 잔액이 일치하는지 여부
- 일계표잔액과 잔고증명서상 잔액의 일치여부에 대해 전결권자의 승인 및 검토를 득하였는지 여부</t>
    <phoneticPr fontId="4" type="noConversion"/>
  </si>
  <si>
    <t xml:space="preserve">본 통제활동에서 다루는 일자금계획의 수행 및 일자금수지의 검토는 거래의 연간 발생 빈도 및 중요도를 고려하여 주기를 M로 설정하였으며 통제 수행빈도는 해당 위험의 적시 예방 적발을 위해 적절하다고 판단됨. </t>
  </si>
  <si>
    <t xml:space="preserve">해당 통제와 관련한 중요한 위험인 [자금은 수립된 자금계획에 따라 운영되어야 한다. ]에 대해 완전히 고려되고 있음. </t>
  </si>
  <si>
    <t>자금관련 일마감절차의 수립</t>
    <phoneticPr fontId="4" type="noConversion"/>
  </si>
  <si>
    <t>TR-020</t>
    <phoneticPr fontId="2" type="noConversion"/>
  </si>
  <si>
    <t>투자자산관리</t>
  </si>
  <si>
    <t>TR-020-10</t>
    <phoneticPr fontId="2" type="noConversion"/>
  </si>
  <si>
    <t>TR-020-10-10</t>
  </si>
  <si>
    <t>투자자산의 거래내역 (예: 취득, 처분 등)은 정확히 기록되어야 한다.</t>
  </si>
  <si>
    <t>투자자산의 거래에 대한 기록상의 오류로 인하여 재무제표에 표시되는 투자자산계정이 왜곡될 가능성이 존재함.</t>
    <phoneticPr fontId="5" type="noConversion"/>
  </si>
  <si>
    <t>금융상품 취득 거래에 대한 승인</t>
    <phoneticPr fontId="4" type="noConversion"/>
  </si>
  <si>
    <t>투자자산(금융상품 등)의 취득은 사전에 정해진 자금운용 지침에 따라 이루어지며, 상위권자의 승인을 득한다.</t>
  </si>
  <si>
    <t>현금성자산, 단기금융상품, 당기손익공정가치측정금융자산, 기타포괄손익공정가치측정금융자산</t>
    <phoneticPr fontId="2" type="noConversion"/>
  </si>
  <si>
    <t xml:space="preserve">1. 금융상품의 투자와 관련하여 별도의 규정화된 지침은 존재하지 않으며, CFO가 대표이사에게 구두로 보고하여 관련 투자를 수행하고 있음.
2. 투자가 완료된 경우 관련 계약 및 증빙에 근거하여 경영지원팀담당자가 회계전표를 작성함. </t>
    <phoneticPr fontId="4" type="noConversion"/>
  </si>
  <si>
    <t>자금운용지침, 기안서, 회계전표</t>
    <phoneticPr fontId="4" type="noConversion"/>
  </si>
  <si>
    <t>【문서검사】
1. 표본기간 중 금융상품 회계원장(장단기금융상품, 당기손익공정가치측정금융자산, 기타포괄손익공정가치측정금융상품)상 금융상품 취득내역을 모집단으로 하여 표본수에 해당하는 표본을 추출하여 다음을 확인한다. 
- 취득 관련 기안서가 작성되어 승인권자의 승인을 득하였는지 여부
- 기안서가 작성되지 않았을 경우 자금운용 지침에 따라 기안서 작성의 생략이 적절한지 여부
- 해당 회계전표를 징구하여 투자내역과 전표가 일치하는지, 회계전표에 대해 전결권자의 승인을 득하였는지 여부</t>
    <phoneticPr fontId="4" type="noConversion"/>
  </si>
  <si>
    <t xml:space="preserve">본 통제활동에서 다루는 금융상품 취득 거래에 대한 승인는 거래의 연간 발생 빈도 및 중요도를 고려하여 주기를 Q로 설정하였으며 통제 수행빈도는 해당 위험의 적시 예방 적발을 위해 적절하다고 판단됨. </t>
  </si>
  <si>
    <t xml:space="preserve">해당 통제와 관련한 중요한 위험인 [투자자산의 거래내역 (예: 취득, 처분 등)은 정확히 기록되어야 한다. ]에 대해 완전히 고려되고 있음. </t>
  </si>
  <si>
    <t>자금운용 규정 혹은 지침의 수립</t>
    <phoneticPr fontId="4" type="noConversion"/>
  </si>
  <si>
    <t xml:space="preserve">[현황]
회사는 정기적금 및 정기예금, 금융상품에 대한 투자 및 처분을 수행하고 있으나, 관련 투자에 있어 사전에 품의 등을 수행하지 않으며, 투자 등과 관련하여 명문화된 지침 혹은 규정이 존재하지 않음.
[잠재적위험]
사전에 정해진 규정 및 지침이 없이 담당자의 자의적 판단에 따라 자금이 운용될 경우, 회사 자산의 부당한 유출이 일어날 가능성 및 자금운용과 관련된 손실이 발생할 가능성이 존재함.
품의 없이 투자가 가능한 금융상품 등에 대한 명문화된 지침이 없을 경우 자금운영에 대한 근거가 미약하여, 추후 문제가 발생시 책임소재가 불분명해짐.
</t>
    <phoneticPr fontId="2" type="noConversion"/>
  </si>
  <si>
    <t>[개선방안]
금융상품에 대한 투자 및 처분에 있어서도 사전에 별도 품의 등을 통해 이루어지도록 해야함.
자금의 투자 및 처분과 관련하여 규정 혹은 지침 등을 수립하고, 관리자는 회사의 투자자산이 해당 규정 혹은 지침에 의해 정당하게 투자 및 처분이 이루어지고 있는지 주기적으로 검토하여야 함.</t>
    <phoneticPr fontId="2" type="noConversion"/>
  </si>
  <si>
    <t>TR-020</t>
    <phoneticPr fontId="2" type="noConversion"/>
  </si>
  <si>
    <t>TR-020-10-20</t>
  </si>
  <si>
    <t>투자자산의 거래에 대한 기록상의 오류로 인하여 재무제표에 표시되는 투자자산계정이 왜곡될 가능성이 존재함.</t>
    <phoneticPr fontId="5" type="noConversion"/>
  </si>
  <si>
    <t>금융상품 처분 거래에 대한 승인</t>
    <phoneticPr fontId="4" type="noConversion"/>
  </si>
  <si>
    <t xml:space="preserve">투자자산(금융상품 등)의 처분과 관련한 회계처리는 적시에 이루어지고 전결권자의 승인을 득한다. </t>
    <phoneticPr fontId="4" type="noConversion"/>
  </si>
  <si>
    <t>P</t>
    <phoneticPr fontId="4" type="noConversion"/>
  </si>
  <si>
    <t>현금성자산, 단기금융상품, 당기손익공정가치측정금융자산, 기타포괄손익공정가치측정금융자산</t>
    <phoneticPr fontId="2" type="noConversion"/>
  </si>
  <si>
    <t xml:space="preserve">1. 금융상품의 처분이 발생할 경우 자금담당자는 처분과 관련한 증빙 및 입금내역에 근거하여 회계전표를 작성함. </t>
    <phoneticPr fontId="4" type="noConversion"/>
  </si>
  <si>
    <t>기안서, 회계전표</t>
    <phoneticPr fontId="4" type="noConversion"/>
  </si>
  <si>
    <t>【문서검사】
1. 표본기간 중 금융상품 회계원장(장단기금융상품, 당기손익공정가치측정금융자산, 기타포괄손익공정가치측정금융상품)상 금융상품 취득내역을 모집단으로 하여 표본수에 해당하는 표본을 추출하여 다음을 확인한다. 
- 처분 관련 기안서가 작성되어 승인권자의 승인을 득하였는지 여부
- 기안서가 작성되지 않았을 경우 자금운용 지침에 따라 기안서 작성의 생략이 적절한지 여부
- 해당 회계전표를 징구하여 처분내역과 전표가 일치하는지, 회계전표에 대해 전결권자의 승인을 득하였는지 여부</t>
    <phoneticPr fontId="4" type="noConversion"/>
  </si>
  <si>
    <t>경영지원팀 자금전결권자</t>
    <phoneticPr fontId="4" type="noConversion"/>
  </si>
  <si>
    <t xml:space="preserve">본 통제활동에서 다루는 금융상품 처분 거래에 대한 승인는 거래의 연간 발생 빈도 및 중요도를 고려하여 주기를 Q로 설정하였으며 통제 수행빈도는 해당 위험의 적시 예방 적발을 위해 적절하다고 판단됨. </t>
  </si>
  <si>
    <t>[개선방안]
금융상품에 대한 투자 및 처분에 있어서도 사전에 별도 품의 등을 통해 이루어지도록 해야함.
자금의 투자 및 처분과 관련하여 규정 혹은 지침 등을 수립하고, 관리자는 회사의 투자자산이 해당 규정 혹은 지침에 의해 정당하게 투자 및 처분이 이루어지고 있는지 주기적으로 검토하여야 함.</t>
    <phoneticPr fontId="2" type="noConversion"/>
  </si>
  <si>
    <t>TR-020</t>
    <phoneticPr fontId="2" type="noConversion"/>
  </si>
  <si>
    <t>TR-020-20</t>
    <phoneticPr fontId="4" type="noConversion"/>
  </si>
  <si>
    <t>TR-020-20-10</t>
  </si>
  <si>
    <t xml:space="preserve">이자수익의 계산 및 회계처리가 누락없이 적절히 수행되어야 한다. </t>
    <phoneticPr fontId="4" type="noConversion"/>
  </si>
  <si>
    <t>금융상품의 이자수익은 정확하게 기표된다.</t>
    <phoneticPr fontId="4" type="noConversion"/>
  </si>
  <si>
    <t>이자수익 회계처리의 검토 및 승인</t>
    <phoneticPr fontId="4" type="noConversion"/>
  </si>
  <si>
    <t>전결권자는 금융상품 매입금액, 이자율, 만기일, 평가 등의 내역을 확인후 이자수익 전표를 승인한다.</t>
    <phoneticPr fontId="4" type="noConversion"/>
  </si>
  <si>
    <t>미수수익, 이자수익</t>
    <phoneticPr fontId="2" type="noConversion"/>
  </si>
  <si>
    <t>Y</t>
    <phoneticPr fontId="4" type="noConversion"/>
  </si>
  <si>
    <t>미수수익계산파일</t>
    <phoneticPr fontId="4" type="noConversion"/>
  </si>
  <si>
    <t>H</t>
    <phoneticPr fontId="4" type="noConversion"/>
  </si>
  <si>
    <t xml:space="preserve">1. 이자입금시 자금담당자는 입금관련 전표를 작성하여 입금증빙과 함께 전결권자의 승인을 득함. 
2. 자금담당자는 결산시점에 장단기 금융상품 내역과 이자관련 정보(이자율, 최종이자수령일 등)를 토대로 미수이자를 계산하고 미수이자 전표를 작성함 전결권자는 담당자가 계산한 미수이자 계산내역이 다음의 관점에서 올바른지 확인하고 이를 승인함.
- 장단기금융상품 불입금액이 결산일 현재 존재하는 장단기금융상품 잔액과 일치하는지를 확인
- 미수수익 계산에 사용된 이자율, 불입일, 만기일이 계상서상의 내역과 일치하는지를 확인
- 계산에 있어 사용된 로직의 변경사항이 존재하는지와 산출된 계산내액이 적절한지를 확인함. </t>
    <phoneticPr fontId="4" type="noConversion"/>
  </si>
  <si>
    <t xml:space="preserve">1. 이자입금시 자금담당자는 입금관련 전표를 작성함. 
2. 결산시점에 별도의 미수이자를 계상하지 않고, 감사시 관련 미수수익에 대한 계상을 수행함. </t>
    <phoneticPr fontId="4" type="noConversion"/>
  </si>
  <si>
    <t>미수수익계산파일, 회계전표</t>
    <phoneticPr fontId="4" type="noConversion"/>
  </si>
  <si>
    <t xml:space="preserve">【문서검사】
1. 표본기간 중 미수수익계상관련 회계전표를 모집단으로 하여 표본수에 해당하는 표본을 추출하여 다음을 확인한다. 
- 미수수익계산파일상의 미수수익계산내역과 회계전표가 일치하는지를 확인한다.
- 미수수익계산파일 및 회계전표는 전결권자의 승인을 득하였는지 확인한다. </t>
    <phoneticPr fontId="4" type="noConversion"/>
  </si>
  <si>
    <t xml:space="preserve">본 통제활동에서 다루는 이자수익 회계처리의 검토 및 승인는 거래의 연간 발생 빈도 및 중요도를 고려하여 주기를 Q로 설정하였으며 통제 수행빈도는 해당 위험의 적시 예방 적발을 위해 적절하다고 판단됨. </t>
  </si>
  <si>
    <t xml:space="preserve">해당 통제와 관련한 중요한 위험인 [이자수익의 계산 및 회계처리가 누락없이 적절히 수행되어야 한다.  ]에 대해 완전히 고려되고 있음. </t>
  </si>
  <si>
    <t>미수이자 및 미지급이자, 금융상품 평가와 관련한 결산회계처리</t>
    <phoneticPr fontId="4" type="noConversion"/>
  </si>
  <si>
    <t xml:space="preserve">[현황]
정기예금등과 관련한 미수수익 및 차입금과 관련한 미지급이자, 금융상품과 관련한 평가를 결산에 있어 반영하지 않고, 감사인의 수정에 의존하고 있음. 
또한, 금융상품 주석작성과 관련한 별도의 통제절차 구비하고 있지 않음.
[잠재적위험]
미수이자 및 미지급이자, 금융상품평가에 대한 결산분개 누락으로 인해 재무제표가 왜곡표시될 가능성 및 감사인의 독립성 저해와 관련한 문제가 발생할 가능성이 존재함. </t>
    <phoneticPr fontId="2" type="noConversion"/>
  </si>
  <si>
    <t xml:space="preserve">[개선방안]
결산시점에 미수수익 및 미지급이자를 계산하고, 금융기관에서 수령한 금융상품별 평가내역서에 근거한 금융상품 평가를 실시하여 전표에 반영하고, 관련 결산사항의 적절성에 대해 검토하여 승인하는 프로세스를 구비해야함. 
또한, 분기별로 금융상품과 관련한 주석작성을 수행하고, 해당 주석내용의 적절성에 대해 내부적으로 보고 및 검토하는 절차를 수립해야함. </t>
    <phoneticPr fontId="2" type="noConversion"/>
  </si>
  <si>
    <t>TR-020-30</t>
    <phoneticPr fontId="4" type="noConversion"/>
  </si>
  <si>
    <t>TR-020-30-10</t>
  </si>
  <si>
    <t xml:space="preserve">금융상품의 평가는 누락없이 적절하게 수행되어야 한다. </t>
    <phoneticPr fontId="4" type="noConversion"/>
  </si>
  <si>
    <t>금융상품의 평가는 정확하기 기표된다.</t>
    <phoneticPr fontId="4" type="noConversion"/>
  </si>
  <si>
    <t>금융상품 평가 회계처리의 검토 및 승인</t>
    <phoneticPr fontId="4" type="noConversion"/>
  </si>
  <si>
    <t xml:space="preserve">전결권자는 금융상품 관련 평가내역의 적절성을 검토한 후 금융상품 평가관련 전표를 승인한다. </t>
    <phoneticPr fontId="4" type="noConversion"/>
  </si>
  <si>
    <t>현금성자산, 단기금융상품, 당기손익공정가치측정금융자산, 기타포괄손익공정가치측정금융자산, 당기손익공정가치측정금융자산평가손익, 기타포괄손익공정가치측정금융자산평가손익</t>
    <phoneticPr fontId="2" type="noConversion"/>
  </si>
  <si>
    <t>금융상품평가파일</t>
    <phoneticPr fontId="4" type="noConversion"/>
  </si>
  <si>
    <t xml:space="preserve">1. 결산시점에 각 금융상품별로 금융기관으로 부터 평가내역서를 징구하여 장부금액과 일치여부를 확인함.
2. 자금담당자는 금융상품 평가파일을 작성하고 동 평가파일 근거하여 금융상품의 평가와 관련한 회계전표를 작성함. 
3. 작성된 전표에 금융기관에서 조회된 평가내역서, 금융상품평가표를 첨부하여 전결권자에게 보고 및 승인을 득함. 
4. 전결권자는 담당자가 계산한 금융상품평가파일이 다음의 관점에서 올바른지 확인하고 이를 승인함.
- 금융상품 잔고금액이 결산일 현재 존재하는 금융상품잔고금액과 일치하는지 확인하여 평가대상 금융자산의 누락이 있는지를 확인함. 
- 금융상품평가액이 금융기관으로부터의 평가내역과 일치하는지를 확인하고, 평가전금액이 평가반영전 회계장부상의 금융상품잔액과 일치하는지를 확인함. 
- 계산에 있어 사용된 로직의 변경사항이 존재하는지와 산출된 계산내액이 적절한지를 확인함. </t>
    <phoneticPr fontId="4" type="noConversion"/>
  </si>
  <si>
    <t xml:space="preserve">1. 결산시점에 각 금융상품별로 금융기관으로 부터 평가내역서를 징구하여 장부금액과 일치여부를 확인함.
2. 평가내역과와 장부금액의 차이에 대해서 별도의 회계처리를 수행하지 않고, 감사결과에 근거하여 관련 평가내역에 대한 전표처리를 실시함. </t>
    <phoneticPr fontId="4" type="noConversion"/>
  </si>
  <si>
    <t>금융상품평가파일, 회계전표</t>
    <phoneticPr fontId="4" type="noConversion"/>
  </si>
  <si>
    <t xml:space="preserve">【문서검사】
1. 표본기간 중 금융상품 평가관련 회계전표를 모집단으로 하여 표본수에 해당하는 표본을 추출하여 다음을 확인한다. 
- 금융상품평가파일상의 금융상품평가손익과 회계전표가 일치하는지를 확인한다.
- 금융상품평가파일 및 회계전표는 전결권자의 승인을 득하였는지 확인한다. </t>
    <phoneticPr fontId="4" type="noConversion"/>
  </si>
  <si>
    <t xml:space="preserve">본 통제활동에서 다루는 금융상품 평가 회계처리의 검토 및 승인는 거래의 연간 발생 빈도 및 중요도를 고려하여 주기를 Q로 설정하였으며 통제 수행빈도는 해당 위험의 적시 예방 적발을 위해 적절하다고 판단됨. </t>
  </si>
  <si>
    <t xml:space="preserve">해당 통제와 관련한 중요한 위험인 [금융상품의 평가는 누락없이 적절하게 수행되어야 한다.  ]에 대해 완전히 고려되고 있음. </t>
  </si>
  <si>
    <t>미수이자 및 미지급이자, 금융상품 평가와 관련한 결산회계처리</t>
    <phoneticPr fontId="4" type="noConversion"/>
  </si>
  <si>
    <t xml:space="preserve">[현황]
정기예금등과 관련한 미수수익 및 차입금과 관련한 미지급이자, 금융상품과 관련한 평가를 결산에 있어 반영하지 않고, 감사인의 수정에 의존하고 있음. 
또한, 금융상품 주석작성과 관련한 별도의 통제절차 구비하고 있지 않음.
[잠재적위험]
미수이자 및 미지급이자, 금융상품평가에 대한 결산분개 누락으로 인해 재무제표가 왜곡표시될 가능성 및 감사인의 독립성 저해와 관련한 문제가 발생할 가능성이 존재함. </t>
    <phoneticPr fontId="2" type="noConversion"/>
  </si>
  <si>
    <t xml:space="preserve">[개선방안]
결산시점에 미수수익 및 미지급이자를 계산하고, 금융기관에서 수령한 금융상품별 평가내역서에 근거한 금융상품 평가를 실시하여 전표에 반영하고, 관련 결산사항의 적절성에 대해 검토하여 승인하는 프로세스를 구비해야함. 
또한, 분기별로 금융상품과 관련한 주석작성을 수행하고, 해당 주석내용의 적절성에 대해 내부적으로 보고 및 검토하는 절차를 수립해야함. </t>
    <phoneticPr fontId="2" type="noConversion"/>
  </si>
  <si>
    <t>TR-020-40</t>
    <phoneticPr fontId="4" type="noConversion"/>
  </si>
  <si>
    <t>TR-020-40-10</t>
  </si>
  <si>
    <t xml:space="preserve">금융상품 관련 주석공시사항은 누락없이 정확해야 한다. </t>
    <phoneticPr fontId="4" type="noConversion"/>
  </si>
  <si>
    <t xml:space="preserve">금융상품관련 주석은 정확하게 기재된다. </t>
    <phoneticPr fontId="4" type="noConversion"/>
  </si>
  <si>
    <t>금융상품관련 주석의 검토 및 승인</t>
    <phoneticPr fontId="4" type="noConversion"/>
  </si>
  <si>
    <t xml:space="preserve">전결권자는 금융상품 관련 주석공시사항을 금융상품약정서 및 장부금액 등과 대사하여 적절한지 확인하고 승인한다. </t>
    <phoneticPr fontId="4" type="noConversion"/>
  </si>
  <si>
    <t>금융위험관리 주석</t>
    <phoneticPr fontId="2" type="noConversion"/>
  </si>
  <si>
    <t xml:space="preserve">1. 분기별로 자금담당자는 회사가 보유한 금융상품에 근거하여 주석작성을 위한 주석파일을 작성하는 한편, 동 파일에 근거하여 주석사항을 기재함. 
2. 작성된 주석에 금융상품보유 및 평가내역을 첨부하여 전결권자로부터의 검토 및 승인을 득함. </t>
    <phoneticPr fontId="4" type="noConversion"/>
  </si>
  <si>
    <t>1. IFRS도입 후 금융상품 주석작성과 관련한 별도의 통제절차 존재하지 않음.</t>
    <phoneticPr fontId="4" type="noConversion"/>
  </si>
  <si>
    <t xml:space="preserve"> 금융상품주석</t>
    <phoneticPr fontId="4" type="noConversion"/>
  </si>
  <si>
    <t>【문서검사】
1. 표본기간 중 사업보고서상의 금융상품주석을 모집단으로 하여 표본수에 해당하는 표본을 추출하여 다음을 확인한다. 
- 금융상품주석작성을 위한 별도의 주석파일이 작성되어 있으며, 주석파일의 내역과 금융상품주석이 일치하는지여부
- 금융상품주석파일에 대해 전결권자의 승인을 득하였는지 여부</t>
    <phoneticPr fontId="4" type="noConversion"/>
  </si>
  <si>
    <t xml:space="preserve">본 통제활동에서 다루는 금융상품관련 주석의 검토 및 승인는 거래의 연간 발생 빈도 및 중요도를 고려하여 주기를 Q로 설정하였으며 통제 수행빈도는 해당 위험의 적시 예방 적발을 위해 적절하다고 판단됨. </t>
  </si>
  <si>
    <t xml:space="preserve">해당 통제와 관련한 중요한 위험인 [금융상품 관련 주석공시사항은 누락없이 정확해야 한다.  ]에 대해 완전히 고려되고 있음. </t>
  </si>
  <si>
    <t>TR-030</t>
    <phoneticPr fontId="2" type="noConversion"/>
  </si>
  <si>
    <t>차입금 관리</t>
  </si>
  <si>
    <t>TR-030-10</t>
    <phoneticPr fontId="2" type="noConversion"/>
  </si>
  <si>
    <t>TR-030-10-10</t>
  </si>
  <si>
    <t>모든 차입금은 누락없이 정확하고 완전하게 기록되어야 한다.</t>
  </si>
  <si>
    <t>차입금 관련 거래가 정확히 적시에 기록되지 못함으로 인하여 재무제표가 왜곡 표시될 가능성이 존재함.</t>
    <phoneticPr fontId="5" type="noConversion"/>
  </si>
  <si>
    <t>차입금의 기록과 승인절차</t>
  </si>
  <si>
    <t>차입금거래는 전결권자의 승인을 득하고, 관련 증빙을 근거로 기록된다.</t>
  </si>
  <si>
    <t>유동성장기부채, 장기차입금, 리스부채</t>
    <phoneticPr fontId="2" type="noConversion"/>
  </si>
  <si>
    <t>더존</t>
    <phoneticPr fontId="4" type="noConversion"/>
  </si>
  <si>
    <t xml:space="preserve">1. 회사는 1건의 자금차입을 실시하고 있으며, 자금의 차입은 기안서 및 이사회 결의를 통해 승인을 득하고 있음.
2. 자금의 차입시에 자금담당자는 관련 차입계약을 체결하기 위하여 인감의 사용 관련 서류의 준비 등을 수행하고 있으며, 자금입금시에 자금담당자는 관련 입금내역을 확인 후 입금전표를 작성하여 승인을 득하고 있음. 
3, 자금담당자는 차입금상환스케쥴에 근거하여 상환기일 도래시 해당 금액을 출금결의서에 기재하여 승인을 득하고 있으며, 승인에 근거하여 자금지출 및 전표작성을 수행함. </t>
    <phoneticPr fontId="4" type="noConversion"/>
  </si>
  <si>
    <t xml:space="preserve">1. 회사는 1건의 자금차입을 실시하고 있으며, 자금의 차입은 기안서 및 이사회 결의를 통해 승인을 득하고 있음.
2. 자금의 차입시에 자금담당자는 관련 차입계약을 체결하기 위하여 인감의 사용 관련 서류의 준비 등을 수행하고 있으며, 자금입금시에 자금담당자는 관련 입금내역을 확인 후 입금전표를 작성하여 승인을 득하고 있음. 
3, 자금담당자는 차입금상환스케쥴에 근거하여 상환기일 도래시 해당 금액을 출금결의서에 기재하여 승인을 득하고 있으며, 승인에 근거하여 자금지출 및 전표작성을 수행함. </t>
    <phoneticPr fontId="4" type="noConversion"/>
  </si>
  <si>
    <t>차입금전표, 기안서</t>
    <phoneticPr fontId="4" type="noConversion"/>
  </si>
  <si>
    <t>【문서검사】
1. 표본기간 중 장단기 차입금원장의 신규차입내역을 모집단으로 하여 표본수에 해당하는 표본을 추출하여 다음사항을 확인한다. 
-차입기안서가 적절한 전결권자의 승인을 받았는지 및 이사회결의가 존재하는지 여부
-통장상의 원금입금일자와 회계전표상의 일자가 일치하는지 여부
-차입계약서상과 통장상의 입금액이 전표와 일치하는지 여부
-전결권자가 전표를 승인하였는지 여부
2. 표본기간 중 장단기 차입금원장의 상환내역을 모집단으로 하여 표본수에 해당하는 표본을 추출하여 다음사항을 확인한다. 
-지출결의서상의 승인내역과 회계전표가 일치하는지 여부
-통장상의 자금출금일자와 회계전표상의 일자가 일치하는지 여부
-전결권자가 전표를 승인하였는지 여부</t>
    <phoneticPr fontId="4" type="noConversion"/>
  </si>
  <si>
    <t xml:space="preserve">본 통제활동에서 다루는 차입금의 기록과 승인절차는 거래의 연간 발생 빈도 및 중요도를 고려하여 주기를 A로 설정하였으며 통제 수행빈도는 해당 위험의 적시 예방 적발을 위해 적절하다고 판단됨. </t>
  </si>
  <si>
    <t xml:space="preserve">해당 통제와 관련한 중요한 위험인 [모든 차입금은 누락없이 정확하고 완전하게 기록되어야 한다. ]에 대해 완전히 고려되고 있음. </t>
  </si>
  <si>
    <t>TR-030</t>
    <phoneticPr fontId="2" type="noConversion"/>
  </si>
  <si>
    <t>TR-030-20</t>
    <phoneticPr fontId="2" type="noConversion"/>
  </si>
  <si>
    <t>TR-030-20-10</t>
  </si>
  <si>
    <t>모든 이자비용은 정확히 계산되어 검토 후 지급되어야 한다.</t>
  </si>
  <si>
    <t xml:space="preserve">이자비용의 지급시, 지급액에 대한 검토가 없을 경우 과다한 이자지급 및 이자비용의 누락가능성이 존재함. </t>
    <phoneticPr fontId="5" type="noConversion"/>
  </si>
  <si>
    <t>이자비용 회계처리의 검토 및 승인</t>
  </si>
  <si>
    <t>전결권자는 차입계약서 및 차입금 발행금액, 이자율, 만기일, 평가 등의 내역을 확인후 이자비용 전표를 승인한다.</t>
    <phoneticPr fontId="4" type="noConversion"/>
  </si>
  <si>
    <t>미지급비용, 이자비용</t>
    <phoneticPr fontId="2" type="noConversion"/>
  </si>
  <si>
    <t>Q</t>
    <phoneticPr fontId="4" type="noConversion"/>
  </si>
  <si>
    <t>미지급이자계산파일</t>
    <phoneticPr fontId="4" type="noConversion"/>
  </si>
  <si>
    <t xml:space="preserve">1. 자금담당자는 차입금상환스케쥴에 근거한 이자지급시점에 출금결의서를 작성하여 승인을 득하고 있으며, 승인내역에 근거하여 자금지출 및 전표처리를 실시함. 
2. 자금담당자는 결산시점에 차입금 내역과 이자관련 정보(이자율, 최종이자지급일 등)를 토대로 미지급이자를 계산하고 미지급이자 전표를 작성함 전결권자는 담당자가 계산한 미지급이자 계산내역이 다음의 관점에서 올바른지 확인하고 이를 승인함.
- 차입금잔액이 결산일 현재 존재하는 차입금 잔액과 일치하는지를 확인
- 미지급이자 계산에 사용된 이자율, 차입일, 만기일이 계상서상의 내역과 일치하는지를 확인
- 계산에 있어 사용된 로직의 변경사항이 존재하는지와 산출된 계산내액이 적절한지를 확인함. </t>
    <phoneticPr fontId="4" type="noConversion"/>
  </si>
  <si>
    <t xml:space="preserve">1. 자금담당자는 차입금상환스케쥴에 근거한 이자지급시점에 출금결의서를 작성하여 승인을 득하고 있으며, 승인내역에 근거하여 자금지출 및 전표처리를 실시함. 
2. 결산시점에 별도의 미지급이자를 계상하지 않고, 감사시 관련 미지급이자에 대한 계상을 수행함. </t>
    <phoneticPr fontId="4" type="noConversion"/>
  </si>
  <si>
    <t>미지급이자계산파일, 회계전표</t>
    <phoneticPr fontId="4" type="noConversion"/>
  </si>
  <si>
    <t xml:space="preserve">【문서검사】
1. 표본기간 중 미지급이자계상관련 회계전표를 모집단으로 하여 표본수에 해당하는 표본을 추출하여 다음을 확인한다. 
- 미지급이자계산파일상의 미지급이자계산내역과 회계전표가 일치하는지를 확인한다.
- 미지급이자계산파일 및 회계전표는 전결권자의 승인을 득하였는지 확인한다. </t>
    <phoneticPr fontId="4" type="noConversion"/>
  </si>
  <si>
    <t xml:space="preserve">본 통제활동에서 다루는 이자비용 회계처리의 검토 및 승인는 거래의 연간 발생 빈도 및 중요도를 고려하여 주기를 Q로 설정하였으며 통제 수행빈도는 해당 위험의 적시 예방 적발을 위해 적절하다고 판단됨. </t>
  </si>
  <si>
    <t xml:space="preserve">해당 통제와 관련한 중요한 위험인 [모든 이자비용은 정확히 계산되어 검토 후 지급되어야 한다. ]에 대해 완전히 고려되고 있음. </t>
  </si>
  <si>
    <t>급여 및 인사관리</t>
  </si>
  <si>
    <t>HR-010</t>
  </si>
  <si>
    <t>직원의 채용</t>
  </si>
  <si>
    <t>HR-010-20</t>
  </si>
  <si>
    <t>HR-010-20-10</t>
  </si>
  <si>
    <t xml:space="preserve">실질적으로 근무하는 직원만 인사급여 인사기록카드에 추가하여야 한다. </t>
  </si>
  <si>
    <t>가공의 직원이 인사급여 인사기록카드에 등록될 위험.</t>
  </si>
  <si>
    <t>모든 신규채용인원에 대한 인사기록카드 등록</t>
  </si>
  <si>
    <t>신규채용 임직원은 인사발령 후 누락 없이 정확하게 인사기록카드에 등록되며 등록된 인사정보는 입력의 정확성에 대하여 제3자에 의해 모니터링 되어야 한다.</t>
  </si>
  <si>
    <t>Yes</t>
    <phoneticPr fontId="4" type="noConversion"/>
  </si>
  <si>
    <t>급여, 복리후생비,경상연구개발비, 미지급비용</t>
    <phoneticPr fontId="2" type="noConversion"/>
  </si>
  <si>
    <t>1. 대표이사 승인 후 인사담당자는 합격자에게 통지를 실시하고, 합격자로부터 인적사항과 관련한 자료(등본, 졸업증명서, 성적증명서, 자격증사본, 병력증명서)를 수취함. 
2. 입사자에 대해 관련 자료를 수취한 이후 계약서의 체결 및 비밀유지서약/모성보호법에 의한 시간외근무동으서/개인정보보안/윤리강령에 대한 서약을 득하고 있음.
3. 인사담당자는 제반서류에 근거하여 인사기록카드를 작성하고 있으며 수령한 자료와 함께 철하여 보관하고 있음.
4. 인사담당자는 더존의 인사마스터상 관련 일반 내역(성명/가족관계/연락처)을 입력하고 있으며, 인사전결권자가 해당 입력내역의 적절성을 검토하는 한편 근로계약서상의 급여관련 정보 등 인사마스터의 최종내역을 입력하고 있음.</t>
    <phoneticPr fontId="4" type="noConversion"/>
  </si>
  <si>
    <t>1. 대표이사 승인 후 인사담당자는 합격자에게 통지를 실시하고, 합격자로부터 인적사항과 관련한 자료(등본, 졸업증명서, 성적증명서, 자격증사본, 병력증명서)를 수취함. 
2. 입사자에 대해 관련 자료를 수취한 이후 계약서의 체결 및 비밀유지서약/모성보호법에 의한 시간외근무동의서/개인정보보안/윤리강령에 대한 서약을 득하고 있음.
3. 인사담당자는 제반서류에 근거하여 인사기록카드를 작성하고 있으며 수령한 자료와 함께 철하여 보관하고 있음.
4. 인사담당자는 더존의 인사마스터상 관련 일반 내역(성명/가족관계/연락처)을 입력하고 있으며, 인사전결권자가 해당 입력내역의 적절성을 검토하는 한편 근로계약서상의 급여관련 정보 등 인사마스터의 최종내역을 입력하고 있음.</t>
    <phoneticPr fontId="4" type="noConversion"/>
  </si>
  <si>
    <t>신규입사자리스트, 인사기록카드, 입사구비서류, 근로계약서</t>
    <phoneticPr fontId="4" type="noConversion"/>
  </si>
  <si>
    <t xml:space="preserve">【문서검사】
1. 표본기간 중의 신규입사자리스트를 모집단으로 하여 표본수에 해당하는 표본을 추출한다.
2. 신규입사자의 인사기록카드, 입사구비서류(등본, 졸업증명서, 성적증명서, 자격증사본, 병력증명서)를 징구하여 인사기록카드의 내용의 관련 구비서류의 내용과 일치하는지 확인한다.
3. 신규입사자의 근로계약서를 징구하여 더존상의 급여정보와 일치하는지를 확인한다. </t>
    <phoneticPr fontId="4" type="noConversion"/>
  </si>
  <si>
    <t>경영지원팀 인사전결권자</t>
    <phoneticPr fontId="4" type="noConversion"/>
  </si>
  <si>
    <t xml:space="preserve">본 통제활동에서 다루는 모든 신규채용인원에 대한 인사기록카드 등록는 거래의 연간 발생 빈도 및 중요도를 고려하여 주기를 Q로 설정하였으며 통제 수행빈도는 해당 위험의 적시 예방 적발을 위해 적절하다고 판단됨. </t>
  </si>
  <si>
    <t xml:space="preserve">해당 통제와 관련한 중요한 위험인 [실질적으로 근무하는 직원만 인사급여 인사기록카드에 추가하여야 한다.  ]에 대해 완전히 고려되고 있음. </t>
  </si>
  <si>
    <t>HR-020</t>
  </si>
  <si>
    <t>급여 계산 및 지급</t>
  </si>
  <si>
    <t>HR-020-10</t>
  </si>
  <si>
    <t>HR-020-10-10</t>
  </si>
  <si>
    <t>급여는 완전하고 정확하게 계산되어야 하며, 급여계산 결과는 승인권자의 승인을 득한 후 입력되어야 한다.</t>
  </si>
  <si>
    <t>급여계산의 정확성에 대한 검증절차 및  계산결과에 대한 전결권자의 승인절차가 없을 경우, 잘못 계산된 급여가 적시에 수정되지 못할 위험.</t>
  </si>
  <si>
    <t>급여계산의 승인</t>
  </si>
  <si>
    <t>계산된 급여, 송금파일, 전표 등 급여관련 문서는 적절한 전결권자의 승인을 득하여야 한다.</t>
  </si>
  <si>
    <t>급여, 복리후생비,경상연구개발비, 미지급비용</t>
    <phoneticPr fontId="2" type="noConversion"/>
  </si>
  <si>
    <t>1. 인사담당자는 매월 인사시스템(더존)을 통해 소득세 및 4대보험 계산 후 급여대장을 작성하고 있음
2. 외부회계법인이 원천세신고를 대행함에 따라 작성된 급여대장을 외부회계법인에게 전달하며, 4대보험과 관련한 전출입 및 변경신고는 노무법인에서 대행하고 있음.
3, 인사담당자는 급여대장을 근거로 급여이체리스트, 급여전표를 작성하며, 작성된 급여대장과 급여이체리스트, 급여관련 전표에 대해서 경영관리팀의 전결권자 및 대표이사는 입력내용의 정확성 등을 검토한 후 승인을 실시함. 
4. 승인된 급여대장은 별도로 보관이 이루어지며, 인사담당자는 승인된 이체리스트를 자금담당자에게 전달하고(이체리스트에 대해서는 엑셀 비밀번호 부여), 자금담당자는 이체리스트의 적절성을 검토 후 은행에 송부하여 급여지급절차를 수행함.</t>
    <phoneticPr fontId="4" type="noConversion"/>
  </si>
  <si>
    <t>1. 인사담당자는 매월 인사시스템(더존)을 통해 소득세 및 4대보험 계산 후 급여대장을 작성하고 있으며, 작성된 급여대장에 대해 대표이사의 승인을 득한 후 보관하고 있음.
2. 외부회계법인이 원천세신고를 대행함에 따라 작성된 급여대장을 외부회계법인에게 전달하며, 4대보험과 관련한 전출입 및 변경신고는 노무법인에서 대행하고 있음.
3. 인사담당자는 급여대장을 근거로 급여이체리스트를 작성(더존에서 다운로드 후 조정)하고 있으며, 작성된 급여이체리스트를 은행에 송부하여 급여지급절차를 수행함. 다만, 급여이체리스트상의 정보와 급여대장상의 정보가 일치하는지에 대한 별도의 확인절차는 존재하지 않음. 
4. 인사담당자는 급여대장상 총 급여와 관련한 정보를 경영지원팀의 회계담당자에게 전달하고 있으며, 회계담당자는 동 정보에 근거하여 급여와 관련한 전표를 작성함.
5. 다만, 급여관련 전표와 급여대장상의 정보가 일치하는지에 대한 확인과 회계전표에 대한 승인절차는 존재하지 않음</t>
    <phoneticPr fontId="4" type="noConversion"/>
  </si>
  <si>
    <t>급여대장, 급여전표, 이체리스트</t>
    <phoneticPr fontId="4" type="noConversion"/>
  </si>
  <si>
    <t>【문서검사】
1. 표본기간 중의 급여대장을 모집단으로 하여 표본수에 해당하는 표본을 추출한다.
2. 해당 급여대장, 관련 회계전표, 급여이체리스트에 대해 전결권자의 승인을 득하였는지를 확인한다. 
3. 급여대장상의 급여관련 정보와 회계전표상의 급여처리내역이 일치하는지를 확인한다.
4. 급여대장상의 급여지급액과 이체리스트상의 급여지급액이 일치하는지를 확인한다.</t>
    <phoneticPr fontId="4" type="noConversion"/>
  </si>
  <si>
    <t>경영지원팀 인사전결권자</t>
    <phoneticPr fontId="4" type="noConversion"/>
  </si>
  <si>
    <t xml:space="preserve">본 통제활동에서 다루는 급여계산의 승인는 거래의 연간 발생 빈도 및 중요도를 고려하여 주기를 M로 설정하였으며 통제 수행빈도는 해당 위험의 적시 예방 적발을 위해 적절하다고 판단됨. </t>
  </si>
  <si>
    <t xml:space="preserve">해당 통제와 관련한 중요한 위험인 [급여는 완전하고 정확하게 계산되어야 하며, 급여계산 결과는 승인권자의 승인을 득한 후 입력되어야 한다. ]에 대해 완전히 고려되고 있음. </t>
  </si>
  <si>
    <t>급여계산결과에 대한 검토 및 급여지급업무분장</t>
    <phoneticPr fontId="4" type="noConversion"/>
  </si>
  <si>
    <t>[현황]
급여의 계산, 급여와 관련한 이체리스트, 급여대장의 작성을 CFO가 직접 수행하고 있으며, CFO는 작성된 급여대장에 대해서 대표이사의 승인을 득한 후 직접 급여지급처리를 수행하고 있음.
[잠재적위험]
급여계산에 있어서의 오류, 급여관련 제반정보(계좌번호 등)의 오류 등을 적시에 발견하지 못하여 잘못된 급여의 지급 및 회계처리가 발생할 위험, 급여의 계산 및 지급이 동일인에 의해 수행되어 급여지급과 관련한 부정이 발생할 위험이 존재</t>
    <phoneticPr fontId="2" type="noConversion"/>
  </si>
  <si>
    <t xml:space="preserve">급여를 계산하는 자와 계산된 급여를 실질적으로 검토하는 자를 구분하여 급여계산, 급여대장 및 급여이체리스트 작성과정에서의 오류를 적시에 발견할 수 있도록 업무를 분장해야함.
또한, 급여를 계산하는자가 급여의 지급까지 수행할 경우 임의적인 급여의 지급, 지급계좌의 변경 등을 통한 부정의 발생가능성이 존재함에 따라 급여의 계산 및 지급과 관련한 업무를 다음과 같이 분장해야함.
- 급여계산 담당자를 별도로 지정하고, 계산된 급여와 관련한 오류발생 여부에 대해 상위권자가 실질적으로 검토를 수행해야 함. 
- 급여계산담당자가 급여이체리스트를 작성함에 있어 급여이체리스트상 비밀번호를 설정하고, 동 급여이체리스트를 상위권자가 검토하는 한편 급여의 지급을 담당하는 제3자(자금담당자)가 검토 및 지출을 수행하도록 하여 ,자금의 지출과정에서 임의적인 급여이체리스트의 변형을 방지해야함. 
- 급여담당자가 급여계산이 완료시 회계전표를 작성하고, 자금담당자가 급여지급시 회계전표를 작성하고, 전결권자가 관련 회계전표에 대한 검토 및 승인절차를 수행하여 급여와 관련한 회계오류에 대해서도 적시발견할 수 있는 절차를 구비해야함. </t>
    <phoneticPr fontId="2" type="noConversion"/>
  </si>
  <si>
    <t>HR-020-10-20</t>
  </si>
  <si>
    <t>연차충당부채 계산의 검토</t>
    <phoneticPr fontId="4" type="noConversion"/>
  </si>
  <si>
    <t>전결권자는 담당자가 작성한 연차충당부채 회계전표와 첨부된 산정내역 대해 검토 후 승인한다.</t>
    <phoneticPr fontId="4" type="noConversion"/>
  </si>
  <si>
    <t>급여, 경상연구개발비, 미지급비용</t>
    <phoneticPr fontId="4" type="noConversion"/>
  </si>
  <si>
    <t>연차충당부채계산파일</t>
    <phoneticPr fontId="4" type="noConversion"/>
  </si>
  <si>
    <t>연차충당부채계산내역, 회계전표</t>
    <phoneticPr fontId="4" type="noConversion"/>
  </si>
  <si>
    <t xml:space="preserve">【문서검사】
1. 표본기간 중의 연차충당부채 회계전표를 모집단으로 하여 표본수에 해당하는 표본을 추출한다.
2. 해당회계전표상의 회계처리내역과 관련한 연차충당부채 계산내역과 회계처리가 일치하는지를 확인한다.
3. 해당 전표 및 연차충당부채 계산내역에 대한 전결권자의 승인여부를 확인한다. </t>
    <phoneticPr fontId="4" type="noConversion"/>
  </si>
  <si>
    <t>경영지원팀 인사전결권자</t>
    <phoneticPr fontId="4" type="noConversion"/>
  </si>
  <si>
    <t xml:space="preserve">본 통제활동에서 다루는 연차충당부채 계산의 검토는 거래의 연간 발생 빈도 및 중요도를 고려하여 주기를 Q로 설정하였으며 통제 수행빈도는 해당 위험의 적시 예방 적발을 위해 적절하다고 판단됨. </t>
  </si>
  <si>
    <t>연차충당부채 및 장기종업원급여의 계상 및 검토</t>
    <phoneticPr fontId="4" type="noConversion"/>
  </si>
  <si>
    <t>[현황]
연차충당부채의 계산 및 관련 회계처리가 감사인의 수정사항을 근거로 이루어지고 있음.
또한, IFRS도입으로 인해 추가로 계상하게된 장기종업원급여와 관련한 내부프로세스의 구축이 필요함. 
[잠재적위험]
연차충당부채 및 장기종업원급여의 계산 오류로 인해 급여의 왜곡이 발생할 위험이 존재</t>
    <phoneticPr fontId="4" type="noConversion"/>
  </si>
  <si>
    <t xml:space="preserve">임직원에게 매년 부여되는 연차에 근거하여 인사담당자가 연차충당부채를 계산하여 회계전표를 작성 후 전결권자의 승인을 득하는 업무절차를 구비해야함. 
또한, 장기종업원급여와 관련하여 외부평가기관에 제시되는 자료에 대해 작성자 외의 전결권자가 검토 및 승인하는 한편, 외부평가보고서에 근거하여 회계처리를 수행 및 검토하는 절차가 구비되어야함. </t>
    <phoneticPr fontId="4" type="noConversion"/>
  </si>
  <si>
    <t>HR-020-20</t>
  </si>
  <si>
    <t>HR-020-20-10</t>
  </si>
  <si>
    <t>급여는 실제 근무한 회사의 임직원에게만 지급되어야 한다.</t>
  </si>
  <si>
    <t>부적절한 수령자에게 지급되거나 부정확한 금액이 지급될 위험.</t>
  </si>
  <si>
    <t>급여계좌의 변경에 대한 원천자료와의 대사</t>
  </si>
  <si>
    <t>모든 임직원의 급여계좌번호는 인사시스템의 인사정보에서 관리되며, 급여계좌번호의 변경은 원천자료 검토 후 수행되어야 한다.</t>
  </si>
  <si>
    <t>급여, 경상연구개발비, 미지급비용</t>
    <phoneticPr fontId="4" type="noConversion"/>
  </si>
  <si>
    <t xml:space="preserve">1. 더존상 임직원의 계좌번호를 관리하고 있으며, CFO 1인만이 동 계좌번호에 대한 접근권한이 존재함. 
2. 더존상의 계좌번호에 근거하여 더존에서 이체파일이 생성되며, 동 이체파일을 편집 후 은행에 송부하여 급여에 대한 지급절차를 수행함. 
3. 급여의 지급은 입사시 설정한 국민은행 계좌만을 통해 이루어지고 있음에 따라, 중도 계좌의 변경 등은 발생하지 않음 </t>
    <phoneticPr fontId="4" type="noConversion"/>
  </si>
  <si>
    <t>급여이체파일</t>
    <phoneticPr fontId="4" type="noConversion"/>
  </si>
  <si>
    <t xml:space="preserve">【문서검사】
1. 표본기간 중의 급여이체 내역을 모집단으로 하여 표본수에 해당하는 표본을 추출한다.
2. 급여이체파일상 5명의 인원을 임의추출하여 급여이체파일상의 계좌번호와 더존상의 해당인원의 계좌번호가 일치하는지를 확인한다. </t>
    <phoneticPr fontId="4" type="noConversion"/>
  </si>
  <si>
    <t xml:space="preserve">본 통제활동에서 다루는 급여계좌의 변경에 대한 원천자료와의 대사는 거래의 연간 발생 빈도 및 중요도를 고려하여 주기를 Q로 설정하였으며 통제 수행빈도는 해당 위험의 적시 예방 적발을 위해 적절하다고 판단됨. </t>
  </si>
  <si>
    <t xml:space="preserve">해당 통제와 관련한 중요한 위험인 [급여는 실제 근무한 회사의 임직원에게만 지급되어야 한다. ]에 대해 완전히 고려되고 있음. </t>
  </si>
  <si>
    <t>HR-020-40</t>
  </si>
  <si>
    <t>HR-020-40-10</t>
  </si>
  <si>
    <t>급여 관련 업무는 분장되어야 한다.</t>
  </si>
  <si>
    <t>급여 관련 업무가 분장되지 않아 잠재적인 이해상충이나 급여계산 및 지급에 오류가 발생할 위험.</t>
  </si>
  <si>
    <t>급여지급과 관련한 업무분장</t>
  </si>
  <si>
    <t>급여지급, 급여계산, 급여기록, 인사기록카드관리 업무영역이 나뉘어져 있어야 하며, 업무분장에 따른 불일치사항 발생시 독립적인 담당자에 의한 조정이 있어야 한다.</t>
  </si>
  <si>
    <t>급여, 퇴직급여, 복리후생비,경상연구개발비, 미지급비용</t>
    <phoneticPr fontId="2" type="noConversion"/>
  </si>
  <si>
    <t>급여와 관련한 업무는 다음과 같이 분장되어 이루어지고 있음.
1. 경영지원팀 인사담당자 : 급여의 계산, 급여이체리스트의 작성, 급여관련 회계전표의 작성, 급여대장의 작성, 인사기록카드 등 인사관련 정보의 관리
2. 경영지원팀 자금담당자 : 급여이체리스트의 적절성 검토, 급여의 이체절차 수행, 급여출금전표의 작성
3. 경영지원팀 회계담당자 : 인사담당자에 의해 작성된 급여관련 회계처리의 적절성 검토, 자금담당자에 의해 수행된 급여관련 지급회계처리의 적절성 검토
4. 경영지원팀 전결권자 : 급여계산(급여대장, 이체리스트, 전표)의 적절성 검토, 급여이체에 대한 최종 승인, 급여의 계상 및 지급과 관련한 회계전표의 검토 및 승인</t>
    <phoneticPr fontId="4" type="noConversion"/>
  </si>
  <si>
    <t xml:space="preserve">1. 급여의 계산, 급여대장의 작성, 급여관련 이체리스트의 작성, 급여의 이체처리가 CFO 1인에 의해 수행되고 있음
2. 급여계산이 완료되면, 급여관련 총 금액을 경영지원팀 회계담당자에게 전달하며, 회계담당자가 관련 금액을 근거로 회계처리를 실시하고 있음. </t>
    <phoneticPr fontId="4" type="noConversion"/>
  </si>
  <si>
    <t>조직도</t>
    <phoneticPr fontId="4" type="noConversion"/>
  </si>
  <si>
    <t xml:space="preserve">【질문, 관찰 및 문서검사】
1. 조직도를 징구하여 급여의 계산과 급여의 지급과 관련한 업무분장여부에 대해 확인한다.
2. 경영지원팀내 급여계산 담당자와 급여지급담당자가 구분되어 있는지를 질문하고 실제 업무가 분장되어 있는지를 관찰한다. </t>
    <phoneticPr fontId="4" type="noConversion"/>
  </si>
  <si>
    <t xml:space="preserve">본 통제활동에서 다루는 급여지급과 관련한 업무분장는 거래의 연간 발생 빈도 및 중요도를 고려하여 주기를 A로 설정하였으며 통제 수행빈도는 해당 위험의 적시 예방 적발을 위해 적절하다고 판단됨. </t>
  </si>
  <si>
    <t xml:space="preserve">해당 통제와 관련한 중요한 위험인 [급여 관련 업무는 분장되어야 한다. ]에 대해 완전히 고려되고 있음. </t>
  </si>
  <si>
    <t>급여계산결과에 대한 검토 및 급여지급업무분장</t>
    <phoneticPr fontId="4" type="noConversion"/>
  </si>
  <si>
    <t xml:space="preserve">급여를 계산하는 자와 계산된 급여를 실질적으로 검토하는 자를 구분하여 급여계산, 급여대장 및 급여이체리스트 작성과정에서의 오류를 적시에 발견할 수 있도록 업무를 분장해야함.
또한, 급여를 계산하는자가 급여의 지급까지 수행할 경우 임의적인 급여의 지급, 지급계좌의 변경 등을 통한 부정의 발생가능성이 존재함에 따라 급여의 계산 및 지급과 관련한 업무를 다음과 같이 분장해야함.
- 급여계산 담당자를 별도로 지정하고, 계산된 급여와 관련한 오류발생 여부에 대해 상위권자가 실질적으로 검토를 수행해야 함. 
- 급여계산담당자가 급여이체리스트를 작성함에 있어 급여이체리스트상 비밀번호를 설정하고, 동 급여이체리스트를 상위권자가 검토하는 한편 급여의 지급을 담당하는 제3자(자금담당자)가 검토 및 지출을 수행하도록 하여 ,자금의 지출과정에서 임의적인 급여이체리스트의 변형을 방지해야함. 
- 급여담당자가 급여계산이 완료시 회계전표를 작성하고, 자금담당자가 급여지급시 회계전표를 작성하고, 전결권자가 관련 회계전표에 대한 검토 및 승인절차를 수행하여 급여와 관련한 회계오류에 대해서도 적시발견할 수 있는 절차를 구비해야함. </t>
    <phoneticPr fontId="2" type="noConversion"/>
  </si>
  <si>
    <t>HR-020-50</t>
    <phoneticPr fontId="4" type="noConversion"/>
  </si>
  <si>
    <t>HR-020-50-10</t>
  </si>
  <si>
    <t>장기종업원급여는 완전하고 정확하게 계산되어야 하며, 계산 결과는 승인권자의 승인을 득하여야 한다.</t>
    <phoneticPr fontId="4" type="noConversion"/>
  </si>
  <si>
    <t>장기종업원급여 계산에 대한 검토 및 승인절차가 없을 경우, 잘못 계산된 장기종업원급여가 적시에 수정되지 못할 위험.</t>
    <phoneticPr fontId="4" type="noConversion"/>
  </si>
  <si>
    <t>장기종업원급여계산내역에 대한 관리자의 검토 및 승인</t>
    <phoneticPr fontId="4" type="noConversion"/>
  </si>
  <si>
    <t>외부계리평가에 따른 장기종업원급여는 승인권자의 검토 및 승인을 득한 후 기록되어야 한다.</t>
    <phoneticPr fontId="4" type="noConversion"/>
  </si>
  <si>
    <t>급여, 충당부채(장기근속급여)</t>
    <phoneticPr fontId="2" type="noConversion"/>
  </si>
  <si>
    <t xml:space="preserve">1. 인사담당자는 외부계리평가기관에 전달할 인원현황, 급여정보, 입사일 및 입퇴사자 명단등을 작성함.
2. 작성된 근거자료에 대해 전결권자의 검토를 득한 후 외부기관에 전달함. 
3. 수령한 외부계리평가보고서의 이상유무를 검토한 후 보고서를 토대로 전표를 입력하고 있음.
4. 입력된 전표 및 외부평가보고서에 대해 전결권자의 검토 및 승인을 득함. </t>
    <phoneticPr fontId="4" type="noConversion"/>
  </si>
  <si>
    <t xml:space="preserve">1. 인사담당자는 외부계리평가기관에 전달할 인원현황, 급여정보, 입사일 및 입퇴사자 명단등을 작성함.
2. 작성된 근거자료에 대해 전결권자의 검토를 득한 후 외부기관에 전달함. 
3. 수령한 외부계리평가보고서의 이상유무를 검토한 후 보고서를 토대로 전표를 입력하고 있음.
4. 입력된 전표 및 외부평가보고서에 대해 전결권자의 검토 및 승인을 득함. </t>
  </si>
  <si>
    <t>계리평가보고서, 회계전표</t>
    <phoneticPr fontId="4" type="noConversion"/>
  </si>
  <si>
    <t xml:space="preserve">【문서검사】
1. 표본기간 중의 장기종업원급여 계상전표를 모집단으로 표본수에 해당하는 표본을 추출한다.
2. 장기종업원급여산정을 위해 외부평가기관에 제시하는 자료에 대해 승인권자의 검토 및 승인이 이루어졌는지를 확인한다.
3. 외부평가기관의 평가보고서와 회계전표상의 회계처리내역이 일치하는지에 대해 확인한다.
4. 회계전표에 대해 전결권자의 승인 및 검토가 이루어졌는지 확인한다. </t>
    <phoneticPr fontId="4" type="noConversion"/>
  </si>
  <si>
    <t xml:space="preserve">본 통제활동에서 다루는 장기종업원급여계산내역에 대한 관리자의 검토 및 승인는 거래의 연간 발생 빈도 및 중요도를 고려하여 주기를 A로 설정하였으며 통제 수행빈도는 해당 위험의 적시 예방 적발을 위해 적절하다고 판단됨. </t>
  </si>
  <si>
    <t xml:space="preserve">해당 통제와 관련한 중요한 위험인 [장기종업원급여는 완전하고 정확하게 계산되어야 하며, 계산 결과는 승인권자의 승인을 득하여야 한다. ]에 대해 완전히 고려되고 있음. </t>
  </si>
  <si>
    <t>연차충당부채 및 장기종업원급여의 계상 및 검토</t>
    <phoneticPr fontId="4" type="noConversion"/>
  </si>
  <si>
    <t>[현황]
연차충당부채의 계산 및 관련 회계처리가 감사인의 수정사항을 근거로 이루어지고 있음.
또한, IFRS도입으로 인해 추가로 계상하게된 장기종업원급여와 관련한 내부프로세스의 구축이 필요함. 
[잠재적위험]
연차충당부채 및 장기종업원급여의 계산 오류로 인해 급여의 왜곡이 발생할 위험이 존재</t>
    <phoneticPr fontId="4" type="noConversion"/>
  </si>
  <si>
    <t xml:space="preserve">임직원에게 매년 부여되는 연차에 근거하여 인사담당자가 연차충당부채를 계산하여 회계전표를 작성 후 전결권자의 승인을 득하는 업무절차를 구비해야함. 
또한, 장기종업원급여와 관련하여 외부평가기관에 제시되는 자료에 대해 작성자 외의 전결권자가 검토 및 승인하는 한편, 외부평가보고서에 근거하여 회계처리를 수행 및 검토하는 절차가 구비되어야함. </t>
    <phoneticPr fontId="2" type="noConversion"/>
  </si>
  <si>
    <t>HR-030</t>
  </si>
  <si>
    <t>인사기록관리</t>
  </si>
  <si>
    <t>HR-030-10</t>
  </si>
  <si>
    <t xml:space="preserve">인사급여관련 기록의 입력 및 변경은 정확하고 완전하고, 유효하게, 그리고 적시에 이루어져야 한다. </t>
  </si>
  <si>
    <t>인사급여자료의 입력 및 변경이 부정확하게 이루어짐으로써 급여계산 및 지급에 오류가 발생할 위험.</t>
  </si>
  <si>
    <t>급여자료변경의 입력을 위한 원천자료 사전 승인</t>
  </si>
  <si>
    <t>급여자료의 변경시에는는 해당 품의서를 작성하여 적절한 전결권자의 승인을 득하여야 한다.</t>
    <phoneticPr fontId="4" type="noConversion"/>
  </si>
  <si>
    <t>급여, 경상연구개발비, 미지급비용</t>
    <phoneticPr fontId="2" type="noConversion"/>
  </si>
  <si>
    <t>1. 급여인상은 매 4월에 이루어지고 있으며, 실제 급여의 인상은 4월부터 반영되고 있음.
2. 연봉협상에 있어 법인예산 및 본부예산을 편성하고, 각 본부별 예산범위내에서 인사평가를 통해 개인별 연봉인상율을 결정하고 있음.
3. 인사평가는 목표관리 및 자기진단시트에 근거하여 수행이 이루어지며, 평가는 팀장이 수행(팀장에 대한 평가는 본부장)함. 팀장에 의해 작성된 인사평가결과는 인사팀에서 취합하여 각 본부장님에게 송부하며, 본부장님이 동 평가결과에 근거하여 연봉인상율의 결정 및 연봉협상을 수행하고 있음. 
4. 연봉협상결과는 인사팀에서 취합하여 대표이사에게 보고하고 있으며, 대표이사의 승인을 득한 후 인상된 연봉을 급여시스템에 반영하고 있음. 
5. 전결권자는 급여시스템에 반영된 급여정보가 승인된 급여정보와 일치하는지를 확인한다.</t>
    <phoneticPr fontId="4" type="noConversion"/>
  </si>
  <si>
    <t>1. 급여인상은 매 4월에 이루어지고 있으며, 실제 급여의 인상은 4월부터 반영되고 있음.
2. 연봉협상에 있어 법인예산 및 본부예산을 편성하고, 각 본부별 예산범위내에서 인사평가를 통해 개인별 연봉인상율을 결정하고 있음.
3. 인사평가는 목표관리 및 자기진단시트에 근거하여 수행이 이루어지며, 평가는 팀장이 수행(팀장에 대한 평가는 본부장)함. 팀장에 의해 작성된 인사평가결과는 인사팀에서 취합하여 각 본부장님에게 송부하며, 본부장님이 동 평가결과에 근거하여 연봉인상율의 결정 및 연봉협상을 수행하고 있음. 
4. 연봉협상결과는 인사팀에서 취합하여 대표이사에게 보고하고 있으며, 대표이사의 승인을 득한 후 인상된 연봉을 급여시스템에 반영하고 있음. 
5. 전결권자는 급여시스템에 반영된 급여정보가 승인된 급여정보와 일치하는지를 확인한다.</t>
    <phoneticPr fontId="4" type="noConversion"/>
  </si>
  <si>
    <t>연봉협상결과보고자료, 급여대장</t>
    <phoneticPr fontId="4" type="noConversion"/>
  </si>
  <si>
    <t xml:space="preserve">【문서검사】
1. 표본기간 중의 연봉협상결과보고를 모집단으로 하여 표본수에 해당하는 표본을 추출한다.
2. 연봉협상결과보고가 대표이사의 승인을 득하였는지 확인한다.
3. 연봉협상결과보고상의 5명의 인원을 임의추출하여 인상된 연봉과 급여대장상의 연봉이 일치하는지를 확인한다. </t>
    <phoneticPr fontId="4" type="noConversion"/>
  </si>
  <si>
    <t xml:space="preserve">본 통제활동에서 다루는 급여자료변경의 입력을 위한 원천자료 사전 승인는 거래의 연간 발생 빈도 및 중요도를 고려하여 주기를 A로 설정하였으며 통제 수행빈도는 해당 위험의 적시 예방 적발을 위해 적절하다고 판단됨. </t>
  </si>
  <si>
    <t xml:space="preserve">해당 통제와 관련한 중요한 위험인 [인사급여관련 기록의 입력 및 변경은 정확하고 완전하고, 유효하게, 그리고 적시에 이루어져야 한다.  ]에 대해 완전히 고려되고 있음. </t>
  </si>
  <si>
    <t>HR-040</t>
  </si>
  <si>
    <t>직원의 퇴사</t>
  </si>
  <si>
    <t>HR-040-10</t>
  </si>
  <si>
    <t>HR-040-10-10</t>
  </si>
  <si>
    <t xml:space="preserve">퇴사는 인사정책에 준수하여 적법한 승인절차를 득한 후에 확정되어야 한다. </t>
  </si>
  <si>
    <t>인사정책에 반하거나 적법한 절차를 거치지 않은 인원에 대하여 퇴직 처리함으로써 회사자산의 미반납 그리고 퇴직급여 계산 및 지급의 오류가 발생할 위험.</t>
  </si>
  <si>
    <t>퇴직발령에 대한 승인</t>
  </si>
  <si>
    <t>모든 퇴사자는 사직서를 작성하여 전결권자의 승인을 득하여야 한다.</t>
  </si>
  <si>
    <t>퇴직급여</t>
    <phoneticPr fontId="2" type="noConversion"/>
  </si>
  <si>
    <t xml:space="preserve">1. 퇴사를 희망하는 인원은 각 팀장 및 본부장과의 면담을 진행하고, 최종 결정시에는 대표이사까지의 면담을 실시함.
2. 면담 진행 후에도 퇴사를 희망하는 인원은 사직서를 작성하여 제출하고 있으며, 해당 사직서에 대해서 대표이사까지의 승인을 득함.
3. 퇴사자에 대해 사직서외에 퇴직연금지연동의서, 업무인수인계서를 수령하고 있음. 
4. 퇴사자면담시 면담결과서를 작성하여 향후 고용의 유지 등과 관련한 자료로 사용하고 있음. </t>
    <phoneticPr fontId="4" type="noConversion"/>
  </si>
  <si>
    <t>1. 퇴사를 희망하는 인원은 각 팀장 및 본부장과의 면담을 진행하고, 최종 결정시에는 대표이사까지의 면담을 실시함.
2. 면담 진행 후에도 퇴사를 희망하는 인원은 사직서를 작성하여 제출하고 있으며, 해당 사직서에 대해서 대표이사까지의 승인을 득함.
3. 퇴사자에 대해 사직서외에 퇴직연금지연동의서, 업무인수인계서를 수령하고 있음. 
4. 퇴사자 면담시 직급별로 담당자를 나누어 면담결과서를 작성함.</t>
  </si>
  <si>
    <t>사직서, 퇴사자면담결과서</t>
    <phoneticPr fontId="4" type="noConversion"/>
  </si>
  <si>
    <t xml:space="preserve">【문서검사】
1. 표본기간 중의 퇴사자리스트를 모집단으로 하여 표본수에 해당하는 표본을 추출한다.
2. 퇴사자에 대하여 사직서가 작성되고 대표이사까지의 승인을 득하였는지 확인한다.
3. 퇴사자에 대한 면담결과서가 작성되어 보존되고 있는지 확인한다. </t>
    <phoneticPr fontId="4" type="noConversion"/>
  </si>
  <si>
    <t xml:space="preserve">본 통제활동에서 다루는 퇴직발령에 대한 승인는 거래의 연간 발생 빈도 및 중요도를 고려하여 주기를 Q로 설정하였으며 통제 수행빈도는 해당 위험의 적시 예방 적발을 위해 적절하다고 판단됨. </t>
  </si>
  <si>
    <t xml:space="preserve">해당 통제와 관련한 중요한 위험인 [퇴사는 인사정책에 준수하여 적법한 승인절차를 득한 후에 확정되어야 한다.  ]에 대해 완전히 고려되고 있음. </t>
  </si>
  <si>
    <t>퇴직시 면담결과서 등의 작성</t>
    <phoneticPr fontId="4" type="noConversion"/>
  </si>
  <si>
    <t xml:space="preserve">[현황]
직원의 퇴직시에 면담등을 실시하고 있으나, 그 면담결과 등을 구체적으로 기재하여 향후 고용의 유지를 위한 자료로 사용하고 있지는 않음. 
[잠재적위험]
임직원 퇴직과 관련한 절차 등이 적절히 수행되지 않아 직원의 고용을 유지하지 못하여 인력 부족이 발생할 위험. </t>
    <phoneticPr fontId="2" type="noConversion"/>
  </si>
  <si>
    <t xml:space="preserve">임직원의 퇴직시에 퇴직자와의 면담을 근거로한 면담결과서를 작성하고, 동 면담결과서에 대한 내부 승인 및 그 주요내용과 관련하여 향후 개선 등을 위한 근거자료로 사용해야함. 
면담결과서에는 구체적인 퇴직사유, 회사에 권고하는 개선사항 및 불만사항 등을 기재하고, 담당부서에서 그 퇴직사유 등에 대한 분석을 통한 누적결과보고 등을 실시하는 한편, 향후 고용유지를 위한 기본자료로 활용해야함. </t>
    <phoneticPr fontId="2" type="noConversion"/>
  </si>
  <si>
    <t>HR-040-20</t>
  </si>
  <si>
    <t>HR-040-20-10</t>
  </si>
  <si>
    <t>퇴직금은 적시에 계산되고 지급되어야 한다.</t>
    <phoneticPr fontId="4" type="noConversion"/>
  </si>
  <si>
    <t>가공의 퇴사자 또는 퇴사한 직원에 대해 잘못 계산된 퇴직금이 적시에 발견되어 수정되지 못할 위험.</t>
  </si>
  <si>
    <t>퇴직금 계산의 정확성 및 완전성 검토</t>
  </si>
  <si>
    <t xml:space="preserve">확정기여형 퇴직급여와 관련한 불입금에 대해서 전결권자의 승인을 득해야 한다. </t>
    <phoneticPr fontId="4" type="noConversion"/>
  </si>
  <si>
    <t>퇴직급여</t>
    <phoneticPr fontId="2" type="noConversion"/>
  </si>
  <si>
    <t xml:space="preserve">1. 확정기여형 연금제도에 가입하고 있으며, 관련 확정기여형 연금은 월별로 불입이 이루어지고 있음.
2. 인사담당자는 매월급여대장 작성에 있어 인별 퇴직연금액을 계산하고 있으며, 동 퇴직연금액을 급여대장에 반영하여 승인 및 지급절차를 수행하고 있음. </t>
    <phoneticPr fontId="4" type="noConversion"/>
  </si>
  <si>
    <t>퇴직급여전표, 급여대장</t>
    <phoneticPr fontId="4" type="noConversion"/>
  </si>
  <si>
    <t xml:space="preserve">【질문및문서검사】
1. 표본기간 중 급여대장을 모집단으로 하여 표본수에 해당하는 표본을 추출한다.
2. 급여대장상에 기재된 확정기여형퇴직금과 회계전표상의 퇴직급여가 일치하는지 확인한다. 
3. 급여대장상 퇴직금이 누락된 인원이 존재하는지 여부를 확인하고, 누락인원이 있는 경우 그 사유에 대해 질문한다. 
4. 회계전표상의 퇴직급여와 실제 불입액이 일치하는지를 확인한다. </t>
    <phoneticPr fontId="4" type="noConversion"/>
  </si>
  <si>
    <t xml:space="preserve">본 통제활동에서 다루는 퇴직금 계산의 정확성 및 완전성 검토는 거래의 연간 발생 빈도 및 중요도를 고려하여 주기를 M로 설정하였으며 통제 수행빈도는 해당 위험의 적시 예방 적발을 위해 적절하다고 판단됨. </t>
  </si>
  <si>
    <t xml:space="preserve">해당 통제와 관련한 중요한 위험인 [퇴직금은 적시에 계산되고 지급되어야 한다. ]에 대해 완전히 고려되고 있음. </t>
  </si>
  <si>
    <t>HR-040-20-20</t>
  </si>
  <si>
    <t>퇴사자에 대한 인사급여 인사기록카드 퇴직등록절차</t>
  </si>
  <si>
    <t>직원의 퇴직 시 승인을 받은 퇴직원 기준으로 적시에 인사정보에 퇴직으로 변경 처리하여야 한다.</t>
  </si>
  <si>
    <t>퇴직급여</t>
    <phoneticPr fontId="2" type="noConversion"/>
  </si>
  <si>
    <t xml:space="preserve">1. 퇴사자에 대한 사직서가 수리되어 승인이 이루어질 경우 인사담당자는 더존상에서 해당인원을 퇴사상태로 변경하고 있음.
2. 급여지급 담당자는 익월 급여계산에 있어 해당 인원이 적절히 제외되어 급여 등 계산이 이루어지고 있는지에 대해 검토를 수행함. </t>
    <phoneticPr fontId="4" type="noConversion"/>
  </si>
  <si>
    <t>급여대장</t>
    <phoneticPr fontId="4" type="noConversion"/>
  </si>
  <si>
    <t xml:space="preserve">【관찰및문서검사】
1. 표본기간 중의 퇴사자리스트를 모집단으로 하여 표본수에 해당하는 표본을 추출한다.
2. 퇴사자의 퇴직일을 확인하고, 퇴직일 이후 급여대장상 급여가 발생하는지 여부에 대해 확인한다.
3. 퇴사자에 대해 시스템상 퇴사자로 처리가 이루어져 있는지를 확인한다. </t>
    <phoneticPr fontId="4" type="noConversion"/>
  </si>
  <si>
    <t xml:space="preserve">본 통제활동에서 다루는 퇴사자에 대한 인사급여 인사기록카드 퇴직등록절차는 거래의 연간 발생 빈도 및 중요도를 고려하여 주기를 M로 설정하였으며 통제 수행빈도는 해당 위험의 적시 예방 적발을 위해 적절하다고 판단됨. </t>
  </si>
  <si>
    <t>FA</t>
  </si>
  <si>
    <t>고정자산관리</t>
  </si>
  <si>
    <t>FA-010</t>
  </si>
  <si>
    <t>취득 관리</t>
  </si>
  <si>
    <t>FA-010-10</t>
  </si>
  <si>
    <t>FA-010-10-10</t>
  </si>
  <si>
    <t>취득거래가 충분한 검토와 적법한 승인절차를 거치지 않음으로써 취득거래에 오류가 적시에 적발 및 수정되지 않아 재무제표의 왜곡 발생 위험.</t>
  </si>
  <si>
    <t>high</t>
    <phoneticPr fontId="4" type="noConversion"/>
  </si>
  <si>
    <t xml:space="preserve">취득한 고정자산은 회사의 규정 및 적법한 승인절차에 따라 확정된 자산으로서 타당하고 유효하여야 한다. </t>
    <phoneticPr fontId="4" type="noConversion"/>
  </si>
  <si>
    <t>유형자산 취득에 대한 승인</t>
  </si>
  <si>
    <t>고정자산의 취득은 품의서를 작성하여 권한있는 승인권자의 승인을 득하여야 한다.</t>
    <phoneticPr fontId="4" type="noConversion"/>
  </si>
  <si>
    <t>토지, 건물, 차량운반구, 비품, 시설장치, 특허권, 감가상각비, 무형자산상각비</t>
    <phoneticPr fontId="2" type="noConversion"/>
  </si>
  <si>
    <t>1. 고정자산 취득을 위해 각 부서에서 품의서를 작성하여 상위권자의 승인을 득함.
2. 품의서에는 자산의 내용, 구매목적등이 기재되며 견적서도 별도로 첨부됨.</t>
    <phoneticPr fontId="4" type="noConversion"/>
  </si>
  <si>
    <t>고정자산 취득 전표</t>
    <phoneticPr fontId="4" type="noConversion"/>
  </si>
  <si>
    <t>【질문 및 문서검사】
1. 고정자산 취득 시 각 부서 담당자가 구매요청서를 작성하여 상위권자의 승인을 득하는지 질문한다.
2. 표본기간 중 고정자산 취득 전표를 모집단으로 하여 표본수에 해당하는 표본을 추출한다.
3. 표본으로 선정된 고정자산의 취득 전표 중에서 고정자산 취득 샘플을 선정하여 품의서 작성여부 및 승인여부를 확인한다</t>
    <phoneticPr fontId="4" type="noConversion"/>
  </si>
  <si>
    <t xml:space="preserve">본 통제활동에서 다루는 유형자산 취득에 대한 승인는 거래의 연간 발생 빈도 및 중요도를 고려하여 주기를 Q로 설정하였으며 통제 수행빈도는 해당 위험의 적시 예방 적발을 위해 적절하다고 판단됨. </t>
  </si>
  <si>
    <t xml:space="preserve">해당 통제와 관련한 중요한 위험인 [취득거래가 충분한 검토와 적법한 승인절차를 거치지 않음으로써 취득거래에 오류가 적시에 적발 및 수정되지 않아 재무제표의 왜곡 발생 위험. ]에 대해 완전히 고려되고 있음. </t>
  </si>
  <si>
    <t>FA-010-20</t>
  </si>
  <si>
    <t>FA-010-20-10</t>
  </si>
  <si>
    <t>유형자산 취득 거래에 대한 기표가 정확하지 않음으로써 회사의 재무제표가 왜곡 표시될 위험.</t>
  </si>
  <si>
    <t>high</t>
    <phoneticPr fontId="4" type="noConversion"/>
  </si>
  <si>
    <t>모든 고정자산 취득거래는 완전하고, 정확하게 그리고 적시에 기록되어야 한다.</t>
    <phoneticPr fontId="4" type="noConversion"/>
  </si>
  <si>
    <t>유형자산 취득 관련 기록과 승인절차</t>
  </si>
  <si>
    <t>권한있는 승인권자는 유형자산 취득전표와 관련 증빙을 검토하여 유형자산 취득 전표를 승인한다.</t>
    <phoneticPr fontId="4" type="noConversion"/>
  </si>
  <si>
    <t>토지, 건물, 차량운반구, 비품, 시설장치, 특허권, 감가상각비, 무형자산상각비</t>
    <phoneticPr fontId="2" type="noConversion"/>
  </si>
  <si>
    <t>1. 검수완료후 취득전표는 경영지원팀 고정자산담당자가 전표 입력함. 
2. 고정자산담당자가 회계시스템에 입력한 전표는 상위권자의 검토 및 승인을 득한 후 재무제표에 최종 반영됨.</t>
    <phoneticPr fontId="4" type="noConversion"/>
  </si>
  <si>
    <t>1. 검수완료후 취득전표는 경영지원팀 고정자산담당자가 전표 입력함. 
2. 취득전표에 대한 검토 및 승인절차는 별도로 구비되어 있지 아니함.</t>
    <phoneticPr fontId="4" type="noConversion"/>
  </si>
  <si>
    <t>고정자산 취득 전표</t>
    <phoneticPr fontId="4" type="noConversion"/>
  </si>
  <si>
    <t>【문서검사】
1. 표본기간 중 고정자산 취득 전표를 모집단으로 하여 표본수에 해당하는 표본을 추출한다.
2. 표본으로 선정된 고정자산 취득 전표와 관련 증빙(품의서, 계약서, 품의서 등)이 일치여부를 확인한다.
3. 고정자산 취득 전표는 적절한 승인권자의 승인을 받았는지 확인한다.</t>
    <phoneticPr fontId="4" type="noConversion"/>
  </si>
  <si>
    <t xml:space="preserve">본 통제활동에서 다루는 유형자산 취득 관련 기록과 승인절차는 거래의 연간 발생 빈도 및 중요도를 고려하여 주기를 Q로 설정하였으며 통제 수행빈도는 해당 위험의 적시 예방 적발을 위해 적절하다고 판단됨. </t>
  </si>
  <si>
    <t xml:space="preserve">해당 통제와 관련한 중요한 위험인 [유형자산 취득 거래에 대한 기표가 정확하지 않음으로써 회사의 재무제표가 왜곡 표시될 위험. ]에 대해 완전히 고려되고 있음. </t>
  </si>
  <si>
    <t>FA-020</t>
  </si>
  <si>
    <t>상각비 관리</t>
  </si>
  <si>
    <t>FA-020-10</t>
  </si>
  <si>
    <t>FA-020-10-10</t>
  </si>
  <si>
    <t>정확하지 않은 상각비는 일반관리비 및 유형자산의 처분손익의 왜곡을 초래할 위험.</t>
  </si>
  <si>
    <t>상각비 계산은 정확하게 수행되어야 한다.</t>
  </si>
  <si>
    <t>상각비의 정확성</t>
  </si>
  <si>
    <t>상각비는 정확하게 계산되어야 하고, 정확성을 확보할 수 있도록 적절한 검토가 이루어져야 한다.</t>
  </si>
  <si>
    <t>토지, 건물, 차량운반구, 비품, 시설장치, 특허권, 감가상각비, 무형자산상각비</t>
    <phoneticPr fontId="2" type="noConversion"/>
  </si>
  <si>
    <t>1. 경영지원팀 고정자산담당자는 ERP에 등록된 고정자산 정보를 토대로 별도의 Excel파일로 감가상각비를 계산하여 ERP(더존)의 감가상각비와 대사를 실시함.
2. 적절한 상위권자가 ERP의 감가상각비대장과 Excel파일로 계산된 감가상각비와 일치하는지 확인하고 전표를 승인함.</t>
    <phoneticPr fontId="4" type="noConversion"/>
  </si>
  <si>
    <t>1. ERP에 등록된 고정자산 정보에 따라 별도의 Excel파일로 검증을 수행하고 있지 아니함.
2. 감가상각비는 더존에서 자동으로 계산되며, 감가상각비 전표에 대한 검토 및 승인절차는 별도로 구비되어 있지 아니함.</t>
    <phoneticPr fontId="4" type="noConversion"/>
  </si>
  <si>
    <t>감가상각비 전표</t>
    <phoneticPr fontId="4" type="noConversion"/>
  </si>
  <si>
    <t>【문서검사】
1. 표본기간 중 감가상각비 결산 전표를 모집단으로 하여 표본수에 해당하는 표본을 추출한다.
2. 표본으로 선정된 감가상각비 전표 상 감가상각비가 감가상각비 엑셀파일과 일치하는지 확인한다.
3. 감가상각비 전표가 적절한 상위권자의 승인을 받았는지 확인한다.</t>
    <phoneticPr fontId="4" type="noConversion"/>
  </si>
  <si>
    <t>경영지원팀내
고정자산담당자</t>
    <phoneticPr fontId="4" type="noConversion"/>
  </si>
  <si>
    <t xml:space="preserve">본 통제활동에서 다루는 상각비의 정확성는 거래의 연간 발생 빈도 및 중요도를 고려하여 주기를 Q로 설정하였으며 통제 수행빈도는 해당 위험의 적시 예방 적발을 위해 적절하다고 판단됨. </t>
  </si>
  <si>
    <t xml:space="preserve">해당 통제와 관련한 중요한 위험인 [정확하지 않은 상각비는 일반관리비 및 유형자산의 처분손익의 왜곡을 초래할 위험. ]에 대해 완전히 고려되고 있음. </t>
  </si>
  <si>
    <t>감가상각비 검증 및 승인절차</t>
    <phoneticPr fontId="4" type="noConversion"/>
  </si>
  <si>
    <t>[현황]
감가상각비에 대한 결산전표는 더존에서 자동 계산되고 있으나 고정자산담당자가 엑셀파일을 통한 재계산검증을 수행하고 있지 아니함.
[잠재적위험]
감가상각비가 정확하지 않게 계산되어 재무제표에 왜곡이 발생할 위험</t>
    <phoneticPr fontId="2" type="noConversion"/>
  </si>
  <si>
    <t>1. 고정자산담당자는 엑셀파일로 감가상각비에 대한 재계산검증을 실시하여 ERP에서 자동계산되는 감가상각비대장과 일치하는지 여부에 대한 검토 프로세스를 개선할 것을 권고함.
2. 상위권자가 감가상각비계산내역을 확인하고 감가상각비의 총액이 전표의 감가상각비 총액과 일치하는지, 상각비 산출의 근거가 되는 내용연수와 대상자산의 취득원가, 취득일 등의 기초정보가 정확하게 기재되었는지 검토 후 승인하는 프로세스를 개선할 것을 권고함</t>
    <phoneticPr fontId="2" type="noConversion"/>
  </si>
  <si>
    <t>FA-030</t>
  </si>
  <si>
    <t>처분 관리</t>
  </si>
  <si>
    <t>FA-030-20</t>
  </si>
  <si>
    <t>FA-030-20-10</t>
  </si>
  <si>
    <t>고정자산 처분에 대한 기표가 정확하지 않음으로써 회사의 재무제표가 왜곡 표시될 위험.</t>
    <phoneticPr fontId="4" type="noConversion"/>
  </si>
  <si>
    <t>고정자산 처분거래 결과는 완전하고, 정확하게 그리고 적시에 기록되어야 한다.</t>
    <phoneticPr fontId="4" type="noConversion"/>
  </si>
  <si>
    <t>고정자산 처분 관련 기록 및 승인절차</t>
    <phoneticPr fontId="4" type="noConversion"/>
  </si>
  <si>
    <t>고정자산 처분관련 거래는 정확하게 기록되고 권한있는 승인권자의 승인을 득한 후 기록되어야 한다.</t>
    <phoneticPr fontId="4" type="noConversion"/>
  </si>
  <si>
    <t>토지, 건물, 차량운반구, 비품, 시설장치, 특허권, 감가상각비, 무형자산상각비, 유형자산처분손익, 무형자산처분손익</t>
    <phoneticPr fontId="2" type="noConversion"/>
  </si>
  <si>
    <t>1. 처분거래는 경영본부 고정자산담당자가 전표 입력함. 
2. 고정자산담당자가 회계시스템에 입력한 전표는 상위권자의 검토 및 승인을 득한 후 재무제표에 최종 반영됨.</t>
    <phoneticPr fontId="4" type="noConversion"/>
  </si>
  <si>
    <t>1. 처분거래는 경영본부 고정자산담당자가 전표 입력함. 
2. 처분전표에 대한 검토 및 승인절차는 별도로 구비되어 있지 아니함.</t>
    <phoneticPr fontId="4" type="noConversion"/>
  </si>
  <si>
    <t>고정자산 처분전표</t>
    <phoneticPr fontId="4" type="noConversion"/>
  </si>
  <si>
    <t>【질문 및 문서검사】
1. 표본기간 중 고정자산 처분 전표를 모집단으로 하여 표본수에 해당하는 표본을 추출한다.
2. 고정자산 처분내역 중 일부 항목을 샘플링하여 처분품의서와 처분전표 내용이 일치하고, 처분전표는 상위권자가 승인을 하였는지 확인한다.</t>
    <phoneticPr fontId="4" type="noConversion"/>
  </si>
  <si>
    <t xml:space="preserve">본 통제활동에서 다루는 고정자산 처분 관련 기록 및 승인절차는 거래의 연간 발생 빈도 및 중요도를 고려하여 주기를 A로 설정하였으며 통제 수행빈도는 해당 위험의 적시 예방 적발을 위해 적절하다고 판단됨. </t>
  </si>
  <si>
    <t xml:space="preserve">해당 통제와 관련한 중요한 위험인 [고정자산 처분에 대한 기표가 정확하지 않음으로써 회사의 재무제표가 왜곡 표시될 위험. ]에 대해 완전히 고려되고 있음. </t>
  </si>
  <si>
    <t>FA-040</t>
  </si>
  <si>
    <t>유지보수 관리</t>
  </si>
  <si>
    <t>FA-040-10</t>
  </si>
  <si>
    <t>FA-040-10-10</t>
  </si>
  <si>
    <t>유형자산의 유지보수거래가 적시에 정확하게 기록하지 않을 경우 재무제표가 왜곡 및 수선이력이 적절히 관리되지 않을 위험.</t>
  </si>
  <si>
    <t>모든 고정자산 유지보수거래는 완전하고, 정확하게 그리고 적시에 기록된다.</t>
    <phoneticPr fontId="4" type="noConversion"/>
  </si>
  <si>
    <t>자산성 및 자본적/수익적 지출의 검토</t>
  </si>
  <si>
    <t>자산의 자산성 및 자본적/수익적 지출의 분류는 회계정책에 따라 적절하게 분류되었는지 검토되어야 한다.</t>
  </si>
  <si>
    <t>1. 고정자산 관련 지출과 관련하여 자산분류기준(자본적/수익적 지출)에 대한 결정은 경영본부에서 진행하며 자산의 성격, 취득가액 등을 고려하여 자본적/수익적 지출로 처리할지에 대해 판단하고 있음.</t>
    <phoneticPr fontId="4" type="noConversion"/>
  </si>
  <si>
    <t>1. 고정자산 관련 지출과 관련하여 자산분류기준(자본적/수익적 지출)에 대한 결정은 경영지원팀에서 진행하며 자산의 성격, 취득가액 등을 고려하여 자본적/수익적 지출로 처리할지에 대해 판단하고 있음.</t>
    <phoneticPr fontId="4" type="noConversion"/>
  </si>
  <si>
    <t>소모품비, 수선비 전표</t>
    <phoneticPr fontId="4" type="noConversion"/>
  </si>
  <si>
    <t>Q</t>
    <phoneticPr fontId="2" type="noConversion"/>
  </si>
  <si>
    <t>【질문 및 문서검사】
1. 자산분류기준 (자본적/수익적 지출) 에 대해 질문하고, 기업회계기준과 일치하는지 질문한다.
2. 표본기간 중 소보품비, 수선비 전표를 모집단으로 하여 표본수에 해당하는 표본을 추출한다.
3. 표본으로 선정된 소모품비, 수선비 전표에 대하여 수익적지출이 기업회계기준에 따라 적절하게 분류되었는지 확인한다.</t>
    <phoneticPr fontId="4" type="noConversion"/>
  </si>
  <si>
    <t>경영지원팀내
고정자산담당자</t>
    <phoneticPr fontId="4" type="noConversion"/>
  </si>
  <si>
    <t xml:space="preserve">본 통제활동에서 다루는 자산성 및 자본적/수익적 지출의 검토는 거래의 연간 발생 빈도 및 중요도를 고려하여 주기를 A로 설정하였으며 통제 수행빈도는 해당 위험의 적시 예방 적발을 위해 적절하다고 판단됨. </t>
  </si>
  <si>
    <t xml:space="preserve">해당 통제와 관련한 중요한 위험인 [유형자산의 유지보수거래가 적시에 정확하게 기록하지 않을 경우 재무제표가 왜곡 및 수선이력이 적절히 관리되지 않을 위험. ]에 대해 완전히 고려되고 있음. </t>
  </si>
  <si>
    <t>FA-040-30</t>
  </si>
  <si>
    <t>FA-040-30-10</t>
  </si>
  <si>
    <t>고정자산이 적절하게 보호되지 않는다면 도난, 화재 등의 재난에 의해서 큰 손실이 발생할 위험.</t>
    <phoneticPr fontId="4" type="noConversion"/>
  </si>
  <si>
    <t>high</t>
    <phoneticPr fontId="4" type="noConversion"/>
  </si>
  <si>
    <t>고정자산은 적절하게 보호되어야 한다.</t>
    <phoneticPr fontId="4" type="noConversion"/>
  </si>
  <si>
    <t>고정자산의 식별</t>
    <phoneticPr fontId="4" type="noConversion"/>
  </si>
  <si>
    <t>고정자산은 해당 자산을 정확하게 식별할 수 있도록 식별표(Tag)가 부여되어 관리되어야 한다.</t>
    <phoneticPr fontId="4" type="noConversion"/>
  </si>
  <si>
    <t>1. 고정자산 취득 시 총무팀에서 Tag를 부착하여 관리하고 있으며, 해당 Tag에는 고유번호를 부여하고 ERP시스템 자산등록시 해당번호와 일치하도록 관리하고 있음.</t>
    <phoneticPr fontId="4" type="noConversion"/>
  </si>
  <si>
    <t>고정자산관리대장</t>
    <phoneticPr fontId="4" type="noConversion"/>
  </si>
  <si>
    <t>【질문 및 문서검사】
1. 자산관리번호를 부여하는 방법을 질문한다.
2. 고정자산 관리대장에서 일부 항목을 추출하여 실제 자산에 자산관리번호가 부착되어있는지, Tag에 있는 정보가 고정자산 대장과 일치하는지 확인한다.</t>
    <phoneticPr fontId="4" type="noConversion"/>
  </si>
  <si>
    <t>경영지원팀내
고정자산담당자</t>
    <phoneticPr fontId="4" type="noConversion"/>
  </si>
  <si>
    <t xml:space="preserve">본 통제활동에서 다루는 고정자산의 식별는 거래의 연간 발생 빈도 및 중요도를 고려하여 주기를 A로 설정하였으며 통제 수행빈도는 해당 위험의 적시 예방 적발을 위해 적절하다고 판단됨. </t>
  </si>
  <si>
    <t xml:space="preserve">해당 통제와 관련한 중요한 위험인 [고정자산이 적절하게 보호되지 않는다면 도난, 화재 등의 재난에 의해서 큰 손실이 발생할 위험. ]에 대해 완전히 고려되고 있음. </t>
  </si>
  <si>
    <t>FA-050</t>
    <phoneticPr fontId="4" type="noConversion"/>
  </si>
  <si>
    <t>리스관리</t>
    <phoneticPr fontId="4" type="noConversion"/>
  </si>
  <si>
    <t>FA-050-10</t>
    <phoneticPr fontId="4" type="noConversion"/>
  </si>
  <si>
    <t>FA-050-10-10</t>
  </si>
  <si>
    <t>유헌종
이단비</t>
  </si>
  <si>
    <t>리스 관련 회계처리가 정확하고 완전하게 기록되지 않을 위험</t>
    <phoneticPr fontId="4" type="noConversion"/>
  </si>
  <si>
    <t>high</t>
    <phoneticPr fontId="4" type="noConversion"/>
  </si>
  <si>
    <t>리스 결산전표는 정확하고 완전하게 기록된다.</t>
    <phoneticPr fontId="4" type="noConversion"/>
  </si>
  <si>
    <t>리스에 대한 검토 및 승인</t>
  </si>
  <si>
    <t>전결권자는 리스 관련 조정분개(사용권자산, 리스부채, 이자비용, 유동성대체 등)가 정확하게 계산되었는지 검토하고 리스조정 전표를 승인한다.</t>
    <phoneticPr fontId="4" type="noConversion"/>
  </si>
  <si>
    <t>사용권자산, 리스부채, 사용권자산상각비, 이자비용</t>
    <phoneticPr fontId="2" type="noConversion"/>
  </si>
  <si>
    <t>Y</t>
    <phoneticPr fontId="4" type="noConversion"/>
  </si>
  <si>
    <t>리스템플릿(엑셀파일)</t>
  </si>
  <si>
    <t>1. 전결권자는 담당자가 작성한 리스관련 회계전표와 첨부된 검증내역 대해 다음의 관점에서 검토 후 승인한다.
- 리스대상 임대차계약의 내용의 관련 리스계약서상의 내용과 일치하는지를 확인
- 회계처리에 사용된 리스스케쥴표가 최초 리스계산시 사용된 스케쥴표와 변경되었는지 여부에 대한 확인
- 계산에 있어 사용된 로직의 변경사항이 존재하는지와 산출된 계산내역이 적절한지를 확인</t>
    <phoneticPr fontId="4" type="noConversion"/>
  </si>
  <si>
    <t>리스와 관련한 프로세스는 현재 별도로 존재하지 않음</t>
    <phoneticPr fontId="4" type="noConversion"/>
  </si>
  <si>
    <t>리스결산전표</t>
    <phoneticPr fontId="4" type="noConversion"/>
  </si>
  <si>
    <t>【문서검사】
1. 표본기간 중 리스 결산전표를 모집단으로 하여 표본수에 해당하는 표본을 추출한다.
2. 표본으로 선정된 리스 결산전표 상 사용권자산, 리스부채, 이자비용 등의 금액과 고정자산 담당자가 작성한 리스 엑셀파일이 일치하는지 확인한다.
3. 리스 결산전표가 적절한 상위권자의 승인을 받았는지 확인한다.</t>
    <phoneticPr fontId="4" type="noConversion"/>
  </si>
  <si>
    <t xml:space="preserve">본 통제활동에서 다루는 리스에 대한 검토 및 승인는 거래의 연간 발생 빈도 및 중요도를 고려하여 주기를 Q로 설정하였으며 통제 수행빈도는 해당 위험의 적시 예방 적발을 위해 적절하다고 판단됨. </t>
  </si>
  <si>
    <t xml:space="preserve">해당 통제와 관련한 중요한 위험인 [리스 관련 회계처리가 정확하고 완전하게 기록되지 않을 위험 ]에 대해 완전히 고려되고 있음. </t>
  </si>
  <si>
    <t>리스에 대한 검증 및 승인절차</t>
    <phoneticPr fontId="4" type="noConversion"/>
  </si>
  <si>
    <t>[현황]
리스에 대한 계산은 별도의 엑셀파일로 계산되고 있으나 상위권자에 의한 검토 및 승인절차가 구비되어 있지 안함.
[잠재적위험]
리스 전표가 부적절하게 기표되어 재무제표에 왜곡이 발생할 위험</t>
    <phoneticPr fontId="2" type="noConversion"/>
  </si>
  <si>
    <t>상위권자가 리스 계산내역을 확인하고 리스전표와 리스계산파일 상 사용권자산, 리스부채가 일치하는지 검토 후 승인하는 프로세스를 개선할 것을 권고함.</t>
    <phoneticPr fontId="2" type="noConversion"/>
  </si>
  <si>
    <t>EX</t>
  </si>
  <si>
    <t>경비관리</t>
    <phoneticPr fontId="4" type="noConversion"/>
  </si>
  <si>
    <t>EX-010</t>
    <phoneticPr fontId="4" type="noConversion"/>
  </si>
  <si>
    <t>일반비용지출</t>
  </si>
  <si>
    <t>EX-010-10</t>
    <phoneticPr fontId="2" type="noConversion"/>
  </si>
  <si>
    <t>EX-010-10-10</t>
  </si>
  <si>
    <t>미승인 경비가 반영되어 비용이 과대계상될 위험</t>
    <phoneticPr fontId="4" type="noConversion"/>
  </si>
  <si>
    <t>승인받은 경비만 장부에 반영되어야 한다.</t>
    <phoneticPr fontId="4" type="noConversion"/>
  </si>
  <si>
    <t>지출결의서 승인</t>
    <phoneticPr fontId="4" type="noConversion"/>
  </si>
  <si>
    <t>각 부서에서 발생한 비용은 전결규정에 전결권자의 승을 득한다.</t>
    <phoneticPr fontId="4" type="noConversion"/>
  </si>
  <si>
    <t>판매관리비</t>
    <phoneticPr fontId="2" type="noConversion"/>
  </si>
  <si>
    <t xml:space="preserve">1. 세금계산서 미발행분
(1) 각 부서에서 법인카드 등을 사용하여 경비 집행 후, 각 담당자는 월1회 지출결의서를 작성한다.
(2) 작성된 지출결의서에 소속 팀장의 승인을 득한 후, 경영지원팀으로 이관된다. 
(3) 경영지원팀에서는 승인된 지출결의서 및 관련 영수증을 참고하여 경비 전표를 입력한다.
2. 세금계산서 발행분
(1) 각 부서에서 경비 발생 전에 품의서를 작성한다.
(2) 작성된 품의서는 전결권자의 승인을 득한다.
(3) 경영지원팀에서는 발행된 세금계산성와 승인된 품의서를 대사하여 경비 전표를 입력한다.
</t>
    <phoneticPr fontId="4" type="noConversion"/>
  </si>
  <si>
    <t xml:space="preserve">1. 세금계산서 미발행분
(1) 각 부서에서 법인카드 등을 사용하여 경비 집행 후, 각 담당자는 월1회 지출결의서를 작성한다.
(2) 작성된 지출결의서에 소속 팀장의 승인을 득한 후, 경영지원팀으로 이관된다. 다만, 팀장이 사용한 경비에 대해서는 별도의 지출결의서 작성절차는 구비되어 있지 않다.
(3) 경영지원팀에서는 승인된 지출결의서 및 관련 영수증을 참고하여 경비 전표를 입력한다.
2. 세금계산서 발행분
(1) 각 부서에서 경비 발생 전에 품의서를 작성한다.
(2) 작성된 품의서는 전결권자의 승인을 득한다.
(3) 경영지원팀에서는 발행된 세금계산성와 승인된 품의서를 대사하여 경비 전표를 입력한다.
</t>
    <phoneticPr fontId="4" type="noConversion"/>
  </si>
  <si>
    <t>판매관리비 원장</t>
    <phoneticPr fontId="4" type="noConversion"/>
  </si>
  <si>
    <t>【문서검사】
1. 표본기간 중 판매관리비 원장을 모집단으로 하여 표본수에 해당하는 표본을 추출한다.
2. 선정된 표본에 대해 지출결의서가 작성되고 전결권자의 승인을 받았는지 확인한다.</t>
    <phoneticPr fontId="4" type="noConversion"/>
  </si>
  <si>
    <t>각 부서 전결권자</t>
    <phoneticPr fontId="4" type="noConversion"/>
  </si>
  <si>
    <t xml:space="preserve">본 통제활동에서 다루는 지출결의서 승인는 거래의 연간 발생 빈도 및 중요도를 고려하여 주기를 O로 설정하였으며 통제 수행빈도는 해당 위험의 적시 예방 적발을 위해 적절하다고 판단됨. </t>
  </si>
  <si>
    <t xml:space="preserve">해당 통제와 관련한 중요한 위험인 [미승인 경비가 반영되어 비용이 과대계상될 위험 ]에 대해 완전히 고려되고 있음. </t>
  </si>
  <si>
    <t>1. 지출결의서의 작성
2. 사적경비의 지출 제한</t>
    <phoneticPr fontId="4" type="noConversion"/>
  </si>
  <si>
    <t xml:space="preserve">1. 지출결의서의 작성
[현황]
사용한 경비에 대해서 각 부서에서는 지출결의서를 작성하여 소속 부서 팀장의 승인을 받고 있으나, 팀장의 경우에는 지출결의서를 작성하고 있지 아니함.
[잠재적위험]
지출결의서 작성 및 승인이 이루어지지 않을 경우, 부당한 경비의 집행이 발생하거나 적절한 계정과목으로 회계처리되지 않아 재무제표가 왜곡표시될 위험이 존재함.
2. 사적경비의 지출 제한
[현황]
실제 발생비용을 초과하여 회사의 지원 한도까지 경비를 청구하고(스마트폰 비용의 경우 회사 지원한도까지 청구하여 지출이 이루어졌으나, 실제 발생비용 및 관련 증빙이 지원금액보다 적은 경우가 다수 존재) 승인 및 지출이 이루어지는 경우가 존재함. 
[잠재적위험]
실제 업무와 관련되지 않은 비용이 지출되는 경우 부당한 경비지출이 발생하는 것에 해당하고, 향후 세무상 리스크가 발생할 가능성이 존재함. </t>
    <phoneticPr fontId="2" type="noConversion"/>
  </si>
  <si>
    <t xml:space="preserve">1. 지출결의서의 작성
사전 품의 절차없이 집행되는 경비에 대해서는 모든 임직원이 지출결의서를 작성하여 전결권자의 승인을 받아야 하며, 적절한 계정과목으로 회계처리될 수 있도록 지출결의서에 계정과목 또는 적요가 기재되어야 함.
2. 사적경비의 지출 제한
실제 발생비용을 초과하여 지급되는 경비에 대해서 업무연관성을 입증하기 어려울 것으로 판단됨. 
향후 세무조사 등에 있어 발생비용을 초과하여 직원에게 지급된 비용에 대해 경비가 아닌 급여성격으로 분류되어 개인의 소득세 및 회사의 원천징수와 관련한 추징이 발생할 가능성이 존재함. 
스마트폰 사용 비용 등 유사한 항목의 경비에 대해 발생비용을 한도로 지급하도록 규정을 정비하고, 발생비용을 한도로 지급되는 비용에 대해서는 업무연관성을 입증할 수 있는 자료를 구비하여야 함. </t>
    <phoneticPr fontId="2" type="noConversion"/>
  </si>
  <si>
    <t>EX-010</t>
    <phoneticPr fontId="4" type="noConversion"/>
  </si>
  <si>
    <t>EX-010-20</t>
    <phoneticPr fontId="2" type="noConversion"/>
  </si>
  <si>
    <t>EX-010-20-10</t>
  </si>
  <si>
    <t>발생한 비용이 반영되지 않아 비용이 과소계상될 위험</t>
    <phoneticPr fontId="4" type="noConversion"/>
  </si>
  <si>
    <t>발생한 비용은 완전하게 반영되어야 한다.</t>
    <phoneticPr fontId="4" type="noConversion"/>
  </si>
  <si>
    <t>미정산리스트의 작성</t>
    <phoneticPr fontId="4" type="noConversion"/>
  </si>
  <si>
    <t>경영지원팀 담당자는 지출결의서를 작성하지 않은 미정상리스트를 작성한 후 각 부서에 통지하여 발생비용이 누락되지 않도록 관리한다.</t>
    <phoneticPr fontId="4" type="noConversion"/>
  </si>
  <si>
    <t>판매관리비</t>
    <phoneticPr fontId="2" type="noConversion"/>
  </si>
  <si>
    <t>M</t>
    <phoneticPr fontId="4" type="noConversion"/>
  </si>
  <si>
    <t>1. 경영지원팀 담당자는 매월 제출기한까지 지출결의서를 제출하지 않은 임직원을 파악하여 미정산리스트를 작성한다.
2. 경영지원팀 담당자는 경영지원팀장에게 보고 후, 각 부서에 공지하여 월결산 마감 전까지 지출결의서가 작성될 수 있도록 한다.
3. 경영지원팀 담당자는 월 결산 마감 전에 미정산리스트 처리결과를 경영지원팀장에게 보고한다.</t>
    <phoneticPr fontId="4" type="noConversion"/>
  </si>
  <si>
    <t>미정산리스트</t>
    <phoneticPr fontId="4" type="noConversion"/>
  </si>
  <si>
    <t>【문서검사】
1. 표본기간 중 미정산리스트를 모집단으로 하여 표본수에 해당하는 특정월을 표본으로 추출한다.
2. 미정산리스트가 각 부서에 공지되었는지, 미정산리스트 처리결과가 경영지원팀장에게 보고되었는지 확인한다.</t>
    <phoneticPr fontId="4" type="noConversion"/>
  </si>
  <si>
    <t xml:space="preserve">본 통제활동에서 다루는 미정산리스트의 작성는 거래의 연간 발생 빈도 및 중요도를 고려하여 주기를 M로 설정하였으며 통제 수행빈도는 해당 위험의 적시 예방 적발을 위해 적절하다고 판단됨. </t>
  </si>
  <si>
    <t xml:space="preserve">해당 통제와 관련한 중요한 위험인 [발생한 비용이 반영되지 않아 비용이 과소계상될 위험 ]에 대해 완전히 고려되고 있음. </t>
  </si>
  <si>
    <t>미정산리스트의 작성</t>
    <phoneticPr fontId="4" type="noConversion"/>
  </si>
  <si>
    <t>[현황]
지출결의서 지연 작성에 대한 관리절차가 구비되어 있지 아니함.
[잠재적 위험]
지출결의서 지연 작성에 대한 관리절차가 구비되어 있지 않아 발생한 경비가 적시에 회계처리되지 않을 위험이 존재함.</t>
    <phoneticPr fontId="2" type="noConversion"/>
  </si>
  <si>
    <t>발생한 경비를 적시에 회계처리하기 위한 다음과 같은 절차의 도입이 필요함.
- 지출결의서 작성 및 승인 일정에 대한 명문화
- 기한내에 지출결의서를 작성하지 않은 미정산리스트의 작성 및 각 부서에의 공지
- 미정산리스트 처리결과에 대한 보고</t>
    <phoneticPr fontId="2" type="noConversion"/>
  </si>
  <si>
    <t>EX-010-30</t>
    <phoneticPr fontId="2" type="noConversion"/>
  </si>
  <si>
    <t>EX-010-30-10</t>
  </si>
  <si>
    <t>발생한 판매수수료가 발영되지 않아 비용이 과소계상될 위험</t>
    <phoneticPr fontId="4" type="noConversion"/>
  </si>
  <si>
    <t>발생비용은 적절한 담당자에 의해 검토받아야 한다.</t>
    <phoneticPr fontId="4" type="noConversion"/>
  </si>
  <si>
    <t>판매수수료정산파일의 작성</t>
    <phoneticPr fontId="4" type="noConversion"/>
  </si>
  <si>
    <t>영업팀에서 작성한 판매수수료정산파일을 검토하여 누락된 판매수수료 유무를 검토한다.</t>
    <phoneticPr fontId="4" type="noConversion"/>
  </si>
  <si>
    <t>1. 영업팀 담당자는 판매수수료 지급대상 매출과 판매수수료 관련 정보를 기재한 판매수수료정산파일을 작성한다.
2. 경영지원팀에서는 판매수수료정산파일을 검토하여 판매수수료가 발생하였으나, 세금계산서가 발행되지 않아 누락된 비용이 없는지 확인하고, 판매수수료 전표를 입력한다.</t>
    <phoneticPr fontId="4" type="noConversion"/>
  </si>
  <si>
    <t>1. 영업팀 담당자는 판매수수료 지급대상 매출과 판매수수료 관련 정보를 기재한 판매수수료정산파일을 작성한다.
2. 경영지원팀에서는 판매수수료정산파일을 검토하여 판매수수료가 발생하였으나, 세금계산서가 발행되지 않아 누락된 비용이 없는지 확인하고, 판매수수료 전표를 입력한다.</t>
    <phoneticPr fontId="4" type="noConversion"/>
  </si>
  <si>
    <t xml:space="preserve">【문서검사】
1. 표본기간 중 연도말 결산시점에 영업팀에서 판매수수료 정산파일을 작성하였는지 확인한다.
2. 경영지원팀이 영업팀에서 작성한 판매수수료정산파일을 검토하여 세금계산서미발행 건에 대해 판매수수료 전표를 작성하였는지 확인한다. </t>
    <phoneticPr fontId="4" type="noConversion"/>
  </si>
  <si>
    <t xml:space="preserve">본 통제활동에서 다루는 판매수수료정산파일의 작성는 거래의 연간 발생 빈도 및 중요도를 고려하여 주기를 A로 설정하였으며 통제 수행빈도는 해당 위험의 적시 예방 적발을 위해 적절하다고 판단됨. </t>
  </si>
  <si>
    <t xml:space="preserve">해당 통제와 관련한 중요한 위험인 [발생한 판매수수료가 발영되지 않아 비용이 과소계상될 위험 ]에 대해 완전히 고려되고 있음. </t>
  </si>
  <si>
    <t>FR</t>
    <phoneticPr fontId="5" type="noConversion"/>
  </si>
  <si>
    <t>재무결산과 보고</t>
    <phoneticPr fontId="3" type="noConversion"/>
  </si>
  <si>
    <t>FR-010</t>
    <phoneticPr fontId="2" type="noConversion"/>
  </si>
  <si>
    <t>재무결산과 보고절차의 수립</t>
  </si>
  <si>
    <t>FR-010-10</t>
    <phoneticPr fontId="2" type="noConversion"/>
  </si>
  <si>
    <t>FR-010-10-10</t>
  </si>
  <si>
    <t>정확한 결산업무의 수행을 위한 결산업무규정, 결산업무분장표 및 결산일정별 결산체크리스트는 적정히 구비되고 업무분장되어야 한다.</t>
  </si>
  <si>
    <t>필요한 결산절차의 누락 및 오류 등에 의하여 결산이 체계적으로 이루어지지 못할 위험</t>
  </si>
  <si>
    <t>결산규정의 구비</t>
  </si>
  <si>
    <t xml:space="preserve">결산업무규정 및 결산절차규정은 사전에 구체적으로 정립되어 있어야 하며, 결산업무분장 및 결산체크리스트를 통해 결산의 과정이 진행되어야 한다. </t>
  </si>
  <si>
    <t>전 계정</t>
    <phoneticPr fontId="2" type="noConversion"/>
  </si>
  <si>
    <t>1. 별도의 결산규정을 보유하고 있으며, 결산규정은 결산환경 변경 등을 반영하여 주기적으로 UPDATE됨.
2. 결산규정은 결산체크리스트(결산일정포함) 및 업무분장표를 포함하고 있음.
3. 결산규정은 다음과 같이 구성이 이루어짐. 
가. 결산체제 - 결산스케쥴 및 결산업무분담, 기업회계기준의 준용을 명시하는 결산방침, 세무회계, 결산담당자의 능력개발 등
나. 결산처리 - 결산정보의 입수, 전표처리, 결산서의 작성 및 승인 등
다. 결산보고 - 결산보고 대상의 정의
라. 결산보고절차 - 결산재무제표 및 보고서의 보고요령</t>
    <phoneticPr fontId="4" type="noConversion"/>
  </si>
  <si>
    <t>1. 회사는 별도의 결산관련 규정 및 회계처리지침을 보유하고 있지 않음.
2. 결산관련 업무는 구두 및 협의를 통해 업무배정 및 관리가 이루어지고 있음.
3. 회계사무소로부터 전달받은 결산 체크리스트를 활용하여 완전성 검토를 수행하며, 결산담당자가 수행후 담당이사가 검토함.</t>
    <phoneticPr fontId="4" type="noConversion"/>
  </si>
  <si>
    <t>결산체크리스트 및 업무분장표</t>
    <phoneticPr fontId="4" type="noConversion"/>
  </si>
  <si>
    <t>【문서검사】
1. 표본기간 중의 결산체크리스트 및 업무분장표를 징구함.
2. 체크리스트 및 업무분장표가 최근현황과 일치하는지 확인함.</t>
    <phoneticPr fontId="4" type="noConversion"/>
  </si>
  <si>
    <t>경영지원팀내
회계담당자</t>
    <phoneticPr fontId="4" type="noConversion"/>
  </si>
  <si>
    <t xml:space="preserve">본 통제활동에서 다루는 결산규정의 구비는 거래의 연간 발생 빈도 및 중요도를 고려하여 주기를 A로 설정하였으며 통제 수행빈도는 해당 위험의 적시 예방 적발을 위해 적절하다고 판단됨. </t>
  </si>
  <si>
    <t xml:space="preserve">해당 통제와 관련한 중요한 위험인 [정확한 결산업무의 수행을 위한 결산업무규정, 결산업무분장표 및 결산일정별 결산체크리스트는 적정히 구비되고 업무분장되어야 한다. ]에 대해 완전히 고려되고 있음. </t>
  </si>
  <si>
    <t>회계처리(결산)규정의 수립</t>
    <phoneticPr fontId="4" type="noConversion"/>
  </si>
  <si>
    <t xml:space="preserve">[현황]
결산관련 업무는 회계사무소로부터 전달받은 결산 체크리스트를 활용하여 구두 및 협의를 통해 업무배정 및 관리가 이루어짐. 
[잠재적위험]
외부에서 만든 체크리스트는 회사의 현황을 적시에 반영하지 못하여 결산이 완전하지 못할 가능성이 있음. </t>
    <phoneticPr fontId="2" type="noConversion"/>
  </si>
  <si>
    <t xml:space="preserve">매 결산시 수행하여야 할 업무 Check-list를 구비(완전성)하고 적격성이 있는 자로 하여금 수행하도록 업무분장을 한다. 전기의 Check-list에 당기에 추가되는 결산사항을 Update하며 작성한 체크리스트는 작성자 이외의 업무참여자가 검토하도록 한다. </t>
    <phoneticPr fontId="2" type="noConversion"/>
  </si>
  <si>
    <t>재무결산과 보고</t>
    <phoneticPr fontId="3" type="noConversion"/>
  </si>
  <si>
    <t>FR-020</t>
    <phoneticPr fontId="2" type="noConversion"/>
  </si>
  <si>
    <t>회계처리절차 및 계정원장관리</t>
  </si>
  <si>
    <t>FR-020-10</t>
    <phoneticPr fontId="2" type="noConversion"/>
  </si>
  <si>
    <t>FR-020-10-10</t>
  </si>
  <si>
    <t>모든 거래는 누락없이 정확하게 기록되어야 한다.</t>
  </si>
  <si>
    <t>재무제표에 영향을 미치는 정보의 중복, 누락 등으로 재무제표가 왜곡표시될 위험</t>
  </si>
  <si>
    <t>승인된 계정과목의 적용 및 통제</t>
  </si>
  <si>
    <t>전표작성시 계정과목은 사전에 설정되어 있는 것 중 선택가능하여야 하며, 전표 작성자에 의하여 생성되거나 강제입력은 불가능하도록 설정되어 있어야 한다.</t>
  </si>
  <si>
    <t>전 계정</t>
    <phoneticPr fontId="2" type="noConversion"/>
  </si>
  <si>
    <t xml:space="preserve">1. 회계전표 생성규칙(대상항목, 관련내용) 등을 업무매뉴얼로 정의하고 있으며, 각 현업의 담당자는 동 계정과목정의에 근거하여 회계처리를 실시함. 
2. 업무매뉴얼에 정의되지 않은 거래의 경우, 경영지원팀내 회계담당자의 검토 및 승인 후 회계전표 생성규칙을 갱신함.  
</t>
    <phoneticPr fontId="4" type="noConversion"/>
  </si>
  <si>
    <t xml:space="preserve">1. 모든 전표를 경영지원팀에서 직접 입력함에 따라 별도의 회계처리 매뉴얼은 구비되어 있지 않음. 
2. 계정과목을 신규로 생성하는 경우에는 별도의 문서화된 승인절차나 관련 검토 프로세스 등은 존재하지 않음
3. 계정과목에 대한 신설 변경 및 삭제 등은 경영지원팀만이 수행할 수 있도록 설정되어 있음. 
</t>
    <phoneticPr fontId="4" type="noConversion"/>
  </si>
  <si>
    <t>총계정원장/계정과목 마스터</t>
    <phoneticPr fontId="4" type="noConversion"/>
  </si>
  <si>
    <t>【문서검사】
1. 표본기간 중의 총계정원장과 계정과목 마스터를 징구함.
2. 표본기간 중 사전에 정의된 계정과목 이외에 사용한 임의의 계정과목의 존재여부를 확인함.</t>
    <phoneticPr fontId="4" type="noConversion"/>
  </si>
  <si>
    <t xml:space="preserve">본 통제활동에서 다루는 승인된 계정과목의 적용 및 통제는 거래의 연간 발생 빈도 및 중요도를 고려하여 주기를 A로 설정하였으며 통제 수행빈도는 해당 위험의 적시 예방 적발을 위해 적절하다고 판단됨. </t>
  </si>
  <si>
    <t xml:space="preserve">해당 통제와 관련한 중요한 위험인 [모든 거래는 누락없이 정확하게 기록되어야 한다. ]에 대해 완전히 고려되고 있음. </t>
  </si>
  <si>
    <t>계정과목에 대한 사전정의 및 관리</t>
    <phoneticPr fontId="4" type="noConversion"/>
  </si>
  <si>
    <t xml:space="preserve">[현황]
별도의 회계처리 매뉴얼은 구비되어 있지 않고 새로운 계정과목 생성시 전결권자의 승인 없이 전표처리 함. 
[잠재적위험]
입퇴사자 발생시 계정과목 사용의 연속성이 낮아지며 전표 입력자에 따라 동일한 거래를 다른 계정과목으로 전표처리할 가능성이 있음. </t>
    <phoneticPr fontId="2" type="noConversion"/>
  </si>
  <si>
    <t xml:space="preserve">계정과목 및 업무별 지정분개를 업무매뉴얼로 구비하며 새로운 계정과목이나 회계처리가 필요한 경우 사전에 검토 후 승인 받는 절차를 구비한다. </t>
    <phoneticPr fontId="2" type="noConversion"/>
  </si>
  <si>
    <t>FR</t>
    <phoneticPr fontId="5" type="noConversion"/>
  </si>
  <si>
    <t>재무결산과 보고</t>
    <phoneticPr fontId="3" type="noConversion"/>
  </si>
  <si>
    <t>FR-020-20</t>
    <phoneticPr fontId="2" type="noConversion"/>
  </si>
  <si>
    <t>FR-020-20-20</t>
  </si>
  <si>
    <t>전표는 규정된 절차에 따른 검토 및 승인을 득하여 회계시스템에 반영되어야 한다.</t>
    <phoneticPr fontId="2" type="noConversion"/>
  </si>
  <si>
    <t>승인되지 않은 거래의 전기로 인한 회계기록의 정당성 및 신뢰성이 저하될 위험</t>
    <phoneticPr fontId="2" type="noConversion"/>
  </si>
  <si>
    <t>전표승인 및 심사의 업무분장</t>
  </si>
  <si>
    <t>특정부서에서 생성하고 승인된 전표는 권한있는 독립된 부서에 의하여 검토되고 심사되도록 업무분장 되어야 한다.</t>
    <phoneticPr fontId="2" type="noConversion"/>
  </si>
  <si>
    <t>전 계정</t>
    <phoneticPr fontId="2" type="noConversion"/>
  </si>
  <si>
    <t>1. 회사는 거래건별로 발생시 회계전표를 작성하고 있지 않으며. 세금계산서를 근거로 전표를 작성하고 있음.
2. 전표작성은 재무제표작성을 위한 목적으로 전표에 대한 별도의 승인절차 및 검토절차는 존재하지 않음.
3. 다만, 기중에 관리되고 있는 매출, 매입장, 일계표 등과의 일치여부를 통해 사후적으로 확인이 이루어짐</t>
    <phoneticPr fontId="4" type="noConversion"/>
  </si>
  <si>
    <t>총계정원장</t>
    <phoneticPr fontId="4" type="noConversion"/>
  </si>
  <si>
    <t>【문서검사】
1. 표본기간중 회계시스템상의 총계정원장에서 표본을 선정한다. 
2. 해당 전표가 전결규정에 의한 승인을 득하고 있는지 확인한다. 
3. 해당 전표의 작성자와 검토/승인자가 구분되어 있는지 확인한다.</t>
    <phoneticPr fontId="4" type="noConversion"/>
  </si>
  <si>
    <t>경영지원팀내
회계담당자</t>
    <phoneticPr fontId="4" type="noConversion"/>
  </si>
  <si>
    <t xml:space="preserve">본 통제활동에서 다루는 전표승인 및 심사의 업무분장는 거래의 연간 발생 빈도 및 중요도를 고려하여 주기를 D로 설정하였으며 통제 수행빈도는 해당 위험의 적시 예방 적발을 위해 적절하다고 판단됨. </t>
  </si>
  <si>
    <t xml:space="preserve">해당 통제와 관련한 중요한 위험인 [전표는 규정된 절차에 따른 검토 및 승인을 득하여 회계시스템에 반영되어야 한다. ]에 대해 완전히 고려되고 있음. </t>
  </si>
  <si>
    <t>전표이 작성 및 승인절차 구비</t>
    <phoneticPr fontId="4" type="noConversion"/>
  </si>
  <si>
    <t xml:space="preserve">[현황]
전표는 경영지원팀에서 입력하며 입력 후 검토 절차 등이 없음. 
[잠재적위험]
검토 및 승인 받지 아니한 전표 입력으로 인한 오류가 적시에 발견되지 않을 가능성이 있음. </t>
    <phoneticPr fontId="2" type="noConversion"/>
  </si>
  <si>
    <t xml:space="preserve">생성한 전표를 정기적으로 검토하여 회계처리의 오류를 적시에 발견 및 수정할 수 있는 절차를 구비한다. </t>
    <phoneticPr fontId="2" type="noConversion"/>
  </si>
  <si>
    <t>FR-020</t>
    <phoneticPr fontId="2" type="noConversion"/>
  </si>
  <si>
    <t>FR-020-20-30</t>
  </si>
  <si>
    <t>전표는 규정된 절차에 따른 검토 및 승인을 득하여 회계시스템에 반영되어야 한다.</t>
  </si>
  <si>
    <t>승인되지 않은 거래의 전기로 인한 회계기록의 정당성 및 신뢰성이 저하될 위험</t>
  </si>
  <si>
    <t>전표 및 증빙의 구분보관</t>
  </si>
  <si>
    <t>승인된 전표와 증빙은 재사용을 막기 위하여 별도로 관리되며, 규정에 의한 전표보관기간에 따라 보관되어야 한다.</t>
  </si>
  <si>
    <t xml:space="preserve">1. 회사는 세금계산서와 거래명세서를 각 건별로 취합하여 별도보관하고 있으며, 기타의 전표(일반 경비전표 등)는 지출결의서에 첨부하여 관리함.
2. 다만, 전표를 별도로 출력하여 관리하지 않으며, 전표에 대한 별도 승인절차를 수행하고 있지 않음. 
3. 또한 증빙의 재사용을 방지하기 위하여 지출결의서 등에 지출일자 등을 기록함. </t>
    <phoneticPr fontId="4" type="noConversion"/>
  </si>
  <si>
    <t>승인된 전표철</t>
    <phoneticPr fontId="4" type="noConversion"/>
  </si>
  <si>
    <t>【질문 및 관찰】
1. 승인된 전표의 처리절차 및 보관절차에 대하여 질문한다.
2. 승인된 전표와 관련한 증빙이 기간별로 일련번호와 함께 보관되고 있는지 확인한다.</t>
    <phoneticPr fontId="4" type="noConversion"/>
  </si>
  <si>
    <t xml:space="preserve">본 통제활동에서 다루는 전표 및 증빙의 구분보관는 거래의 연간 발생 빈도 및 중요도를 고려하여 주기를 D로 설정하였으며 통제 수행빈도는 해당 위험의 적시 예방 적발을 위해 적절하다고 판단됨. </t>
  </si>
  <si>
    <t>증빙의 이중사용 방지 프로세스의 구비</t>
    <phoneticPr fontId="4" type="noConversion"/>
  </si>
  <si>
    <t>[현황]
회사는 세금계산서 발행 및 수취를 핵심통제로 관리하며 승인된 세금계산서를 토대로 전표작성하고 사용한 증빙과 전표는 별도로 분리하여 보관함.
[잠재적위험]
핵심통제 수행이후 전표작성과 관련한 통제가 미흡하여 전표가 정확하고 완전하게 작성되지 않을 가능성.</t>
    <phoneticPr fontId="2" type="noConversion"/>
  </si>
  <si>
    <t xml:space="preserve">승인된 전표는 승인된 지출결의서와 함께 파일링하여 기간별로 일련번호와 함께 보관하는 절차를 구비한다. 기 사용된 증빙에 대하여는 사용완료된 증빙임을 명확히 하는 절차가 필요함 </t>
    <phoneticPr fontId="2" type="noConversion"/>
  </si>
  <si>
    <t>FR-020-30</t>
    <phoneticPr fontId="2" type="noConversion"/>
  </si>
  <si>
    <t>FR-020-30-10</t>
  </si>
  <si>
    <t>회계처리 및 자금집행과 관련된 업무는 철처히 분리되어야 한다.</t>
  </si>
  <si>
    <t>적정한 업무분장의 미비에 의한 부정과 오류의 발생가능성 및 부당한 자금이 집행될 위험</t>
  </si>
  <si>
    <t>미지급전표의 생성과 승인업무의 분리</t>
  </si>
  <si>
    <t>미지급전표의 발의업무와 미지급전표의 승인(심사)업무는 서로 다른 담당자에 의하여 철저히 분리되어야 한다.</t>
  </si>
  <si>
    <t>미지급금, 미지급비용</t>
    <phoneticPr fontId="2" type="noConversion"/>
  </si>
  <si>
    <t>1. 구매요청부서에서는 구매요청품의를 작성하여 경영지원팀과 협의 후 각 전결권자의 승인을 득함. 이후 구매(매입)는 경영지원팀에서 진행함, 기타의 경비와 관련해서는 각 현업에서 승인받은 지출결의서와 관련 증빙을 경영지원팀에 전달함. 
2. 경영지원팀에서는 거래명세서와 세금계산서를 수취하며 수취한 세금계산서를 참조하여 회계처리를 실시함.
3. 회사는 세금계산서 미수취 거래에 대하여 발생 즉시 회계처리를 실시하지는 않으며, 취합하여 경영지원팀에서 발생전표를 작성함.
4. 거래발생부서와 이를 기록(매입장 및 전표작성)하는 부서가 상이하고, 지급절차 중 출금결의서 작성 및 검토시 매입관련 증빙을 재확인함에 따라 부정의 가능성은 낮음. 다만, 실제 발생시 발생부서에서 관련 전표를 작성하지 않음에 따른 오류(거래실질과 관련없을)의 발생 가능성이 존재함.</t>
    <phoneticPr fontId="4" type="noConversion"/>
  </si>
  <si>
    <t>매입채무 및 미지급금 원장</t>
    <phoneticPr fontId="4" type="noConversion"/>
  </si>
  <si>
    <t>【문서검사】
1. 표본기간중 미지급금 원장상의 미지급발생내역에서 표본을 추출한다.
2. 해당 전표의 최초 작성(발의)자와 회계전표를 최종 작성한 자가 구분되어 있는지 확인. 
3. 해당 전표에 대해 적절한 승인권자의 승인이 이루어졌는지 확인.</t>
    <phoneticPr fontId="4" type="noConversion"/>
  </si>
  <si>
    <t xml:space="preserve">본 통제활동에서 다루는 미지급전표의 생성과 승인업무의 분리는 거래의 연간 발생 빈도 및 중요도를 고려하여 주기를 W로 설정하였으며 통제 수행빈도는 해당 위험의 적시 예방 적발을 위해 적절하다고 판단됨. </t>
  </si>
  <si>
    <t xml:space="preserve">해당 통제와 관련한 중요한 위험인 [회계처리 및 자금집행과 관련된 업무는 철처히 분리되어야 한다. ]에 대해 완전히 고려되고 있음. </t>
  </si>
  <si>
    <t>미지급전표 및 지급전표에 대한 업무분장</t>
    <phoneticPr fontId="4" type="noConversion"/>
  </si>
  <si>
    <t xml:space="preserve">[현황]
출금결의서의 작성자와 검토자는 구분되어 있으며 . 출금내역을 바탕으로 전표 작성함.
[잠재적위험]
비용이 과대계상될 위험
비용/현금
미지급금/현금 </t>
    <phoneticPr fontId="2" type="noConversion"/>
  </si>
  <si>
    <t>출금결의서는 미지급내역을 바탕으로 지급 전후를 비교하여 검토하는 절차를 구비한다. (장부 활용)</t>
    <phoneticPr fontId="2" type="noConversion"/>
  </si>
  <si>
    <t>FR-020-40</t>
    <phoneticPr fontId="2" type="noConversion"/>
  </si>
  <si>
    <t>FR-020-40-10</t>
  </si>
  <si>
    <t>지급전표의 승인(심사)권한은 허가받은 자로 제한되고, 양립할 수 없는 업무와 적절히 분장된다.</t>
  </si>
  <si>
    <t>전표승인(심사)에 대한 접근통제 미비로 인한 오류 및 부정발생가능성</t>
  </si>
  <si>
    <t>지급전표 작성업무와 승인(심사)업무의 분리</t>
  </si>
  <si>
    <t>지급전표의 작성 담당자와 시스템상 승인(심사)권자는 철저히 업무가 분장되어야 한다.</t>
  </si>
  <si>
    <t xml:space="preserve">1. 회사는 전표를 경영지원팀에서 일괄로 작성하며 별도의 승인절차를 거치지 않고 있음. 시스템자체도 전표작성시 바로 GL에 이기되는 시스템에 해당함. 
2. 따라서 지급통제는 수행하나 지급전표의 작성과 승인에 대한 업무분장이 이루어지지 않고 있음. </t>
    <phoneticPr fontId="4" type="noConversion"/>
  </si>
  <si>
    <t>【문서검사】
1. 표본기간중 미지급금 원장상의 지급내역에서 표본을 추출한다.
2. 해당 지급전표의 생성자와 이를 검토한 자가 서로 다른지 여부 확인
3. 지급담당자의 승인 및 검토가 이루어졌는지 여부 확인</t>
    <phoneticPr fontId="4" type="noConversion"/>
  </si>
  <si>
    <t>경영지원팀내
회계담당자</t>
    <phoneticPr fontId="4" type="noConversion"/>
  </si>
  <si>
    <t xml:space="preserve">본 통제활동에서 다루는 지급전표 작성업무와 승인(심사)업무의 분리는 거래의 연간 발생 빈도 및 중요도를 고려하여 주기를 W로 설정하였으며 통제 수행빈도는 해당 위험의 적시 예방 적발을 위해 적절하다고 판단됨. </t>
  </si>
  <si>
    <t xml:space="preserve">해당 통제와 관련한 중요한 위험인 [지급전표의 승인(심사)권한은 허가받은 자로 제한되고, 양립할 수 없는 업무와 적절히 분장된다. ]에 대해 완전히 고려되고 있음. </t>
  </si>
  <si>
    <t>FR</t>
    <phoneticPr fontId="5" type="noConversion"/>
  </si>
  <si>
    <t>FR-030</t>
    <phoneticPr fontId="2" type="noConversion"/>
  </si>
  <si>
    <t>결산정보의 수집절차관리</t>
  </si>
  <si>
    <t>FR-030-10</t>
    <phoneticPr fontId="2" type="noConversion"/>
  </si>
  <si>
    <t>FR-030-10-10</t>
  </si>
  <si>
    <t>결산조정은 정확하고 완전하게 이루어진다.</t>
  </si>
  <si>
    <t>필요한 결산조정의 누락 및  오류 등에 의해 재무제표가 왜곡될 위험</t>
  </si>
  <si>
    <t>결산조정분개의 승인</t>
  </si>
  <si>
    <t>모든 결산조정분개는 권한있는 상위자의 승인을 득하여 반영되어야 한다.</t>
  </si>
  <si>
    <t>1. 회사의 결산관련 분개는 다음과 같음,
매출에 대한 진행율 계산, 퇴직급여충당부채, 선급비용, 외화평가, 유급휴가충당부채, 재고자산평가충당금, 감가상각 등
2. 결산항목에 대해서 관련 결산관련 내역을 경영지원팀에서 작성 후 팀장 검토가 이루어지고 있으며, 승인된 결산에 대해서만 전표처리가 이루어지고 있음</t>
    <phoneticPr fontId="4" type="noConversion"/>
  </si>
  <si>
    <t>1. 회사의 결산관련 분개는 다음과 같음,
매출에 대한 진행율 계산, 퇴직급여충당부채, 선급비용, 외화평가, 유급휴가충당부채, 감가상각 등
2. 결산항목에 대해서 관련 결산관련 내역을 경영지원팀에서 작성 후 팀장 검토가 이루어지고 있으며, 승인된 결산에 대해서만 전표처리가 이루어지고 있음</t>
    <phoneticPr fontId="4" type="noConversion"/>
  </si>
  <si>
    <t>결산전표</t>
    <phoneticPr fontId="4" type="noConversion"/>
  </si>
  <si>
    <t xml:space="preserve">【문서검사】
1. 결산관련항목 중 1건을 추출하여 관련 전표가 생성되고, 그 전표에 대해서 적절한 승인이 이루어져 있는지를 확인한다. </t>
    <phoneticPr fontId="4" type="noConversion"/>
  </si>
  <si>
    <t xml:space="preserve">본 통제활동에서 다루는 결산조정분개의 승인는 거래의 연간 발생 빈도 및 중요도를 고려하여 주기를 Q로 설정하였으며 통제 수행빈도는 해당 위험의 적시 예방 적발을 위해 적절하다고 판단됨. </t>
  </si>
  <si>
    <t xml:space="preserve">해당 통제와 관련한 중요한 위험인 [결산조정은 정확하고 완전하게 이루어진다. ]에 대해 완전히 고려되고 있음. </t>
  </si>
  <si>
    <t>수리된 회계전표의 검토절차 수립</t>
    <phoneticPr fontId="4" type="noConversion"/>
  </si>
  <si>
    <t xml:space="preserve">[현황]
전표 작성시 ERP에서 전표를 작성하는 경우 즉시 총계정원장에 이기되어 재무제표에 반영이 이루어짐
[잠재적위험]
비용이 과대계상될 위험
비용/현금
미지급금/현금 </t>
    <phoneticPr fontId="2" type="noConversion"/>
  </si>
  <si>
    <t>ERP상에서의 검토 및 승인, 혹은 출력을 통한 검토 및 승인 절차를 갖추어야함. 승인된 전표와 최종 반영된 전표가 일치하는지를 확인하는 절차를 구비하여야 함.</t>
    <phoneticPr fontId="2" type="noConversion"/>
  </si>
  <si>
    <t>FR-040</t>
    <phoneticPr fontId="2" type="noConversion"/>
  </si>
  <si>
    <t>재무제표작성과 보고절차의 관리</t>
  </si>
  <si>
    <t>FR-040-10</t>
    <phoneticPr fontId="2" type="noConversion"/>
  </si>
  <si>
    <t>FR-040-10-10</t>
  </si>
  <si>
    <t>비경상적인 변동항목은 적시에 그 내용이 파악되고 변동원인이 분석되어야 한다.</t>
  </si>
  <si>
    <t>부정확한 회계정보로 인하여 재무제표가 정확한 재무정보를 반영하지 못할 위험</t>
  </si>
  <si>
    <t>분석적검토에 의한 비경상적항목의 파악 및 타당성확보</t>
  </si>
  <si>
    <t>시산표의 각 항목은 분석적검토에 의하여 주요 변동원인이 적정히 파악되어야 하며, 비경상적 변동에 대하여는 변동원인의 타당성을 확보하기 위하여 관련 원인의 분석이 수행되어야 한다.</t>
  </si>
  <si>
    <t>1. 월별로 결산항목을 제외한 재무제표에 대해서는 마감을 실시하고 있음. 핵심지표 등 주요 재무제표내용은 월별 회의에 있어서 관련 보고가 이루어지고 있음. 
2. 동 보고에 있어 재무제표에 대한 분석 및 비경상적 사항에 대한 보고가 이루어지고 있음.</t>
    <phoneticPr fontId="4" type="noConversion"/>
  </si>
  <si>
    <t>1. 회사는 월별로 결산항목을 제외한 재무제표에 대해서는 마감을 실시하고 있음. 핵심지표 등 주요 재무제표내용은 월별 회의에 있어서 관련 보고가 이루어지고 있음. 
2. 동 보고에 있어 재무제표에 대한 분석 및 비경상적 사항에 대한 보고가 이루어지고 있음.</t>
    <phoneticPr fontId="4" type="noConversion"/>
  </si>
  <si>
    <t>월간회의보고자료(인트라원)</t>
    <phoneticPr fontId="4" type="noConversion"/>
  </si>
  <si>
    <t>M</t>
    <phoneticPr fontId="2" type="noConversion"/>
  </si>
  <si>
    <t xml:space="preserve">【문서검사】
1. 월간회의에 보고된 재무자료를 징구함.
2. 동 보고자료를 근거로 보고가 이루어졌는지 확인한다. </t>
    <phoneticPr fontId="4" type="noConversion"/>
  </si>
  <si>
    <t xml:space="preserve">본 통제활동에서 다루는 분석적검토에 의한 비경상적항목의 파악 및 타당성확보는 거래의 연간 발생 빈도 및 중요도를 고려하여 주기를 Q로 설정하였으며 통제 수행빈도는 해당 위험의 적시 예방 적발을 위해 적절하다고 판단됨. </t>
  </si>
  <si>
    <t xml:space="preserve">해당 통제와 관련한 중요한 위험인 [비경상적인 변동항목은 적시에 그 내용이 파악되고 변동원인이 분석되어야 한다. ]에 대해 완전히 고려되고 있음. </t>
  </si>
  <si>
    <t>FR-040</t>
    <phoneticPr fontId="2" type="noConversion"/>
  </si>
  <si>
    <t>FR-040-20</t>
    <phoneticPr fontId="2" type="noConversion"/>
  </si>
  <si>
    <t>FR-040-20-10</t>
  </si>
  <si>
    <t>발생한 모든 거래는 정확하고 완전하게 총계정원장에 집계되어야 한다.</t>
  </si>
  <si>
    <t>회계처리의 누락 및 오류 등으로 인하여 부정확한 재무정보가 산출될 위험</t>
  </si>
  <si>
    <t>계정잔액명세서의 작성 및 시산표상 각 항목의 대사</t>
  </si>
  <si>
    <t>결산이 완료되면 계정별잔액명세를 작성하여 시산표상의 잔액과 일치하는지 대사하고 차이에 대한 원인이 파악되어야 한다.</t>
  </si>
  <si>
    <t xml:space="preserve">1. 분기 결산시에 ERP상 결산내역을 근거로 잔액명세를 포함한 결산서를 작성하고 있으며, 이를 회계감사시 제시하고 수정사항에 대한 조정 등을 실시함.
2. 결산서의 작성에 있어서는 각 계정별 잔액과의 일치여부를 검증함. </t>
    <phoneticPr fontId="4" type="noConversion"/>
  </si>
  <si>
    <t xml:space="preserve">1. 분기 결산시에 ERP상 결산내역을 근거로 잔액명세를 포함한 결산서를 작성하고 있으며, 이를 회계감사시 제시하고 수정사항에 대한 조정 등을 실시함.
2. 결산서의 작성에 있어서는 각 계정별 잔액과의 일치여부를 검증함. </t>
    <phoneticPr fontId="4" type="noConversion"/>
  </si>
  <si>
    <t>시산표/계정잔액명세서</t>
    <phoneticPr fontId="4" type="noConversion"/>
  </si>
  <si>
    <t xml:space="preserve">【질문 및 문서검사】
1. 결산수행시 시산표의 각 계정잔액과 계정잔액명세서를 대사하는 절차를 수행하는지 질문한다. 
2. 해당 기간의 시산표 및 계정잔액명세서를 징구하여 각 항목이 상호 일치하는지 대사하여 확인한다. </t>
    <phoneticPr fontId="4" type="noConversion"/>
  </si>
  <si>
    <t xml:space="preserve">본 통제활동에서 다루는 계정잔액명세서의 작성 및 시산표상 각 항목의 대사는 거래의 연간 발생 빈도 및 중요도를 고려하여 주기를 Q로 설정하였으며 통제 수행빈도는 해당 위험의 적시 예방 적발을 위해 적절하다고 판단됨. </t>
  </si>
  <si>
    <t xml:space="preserve">해당 통제와 관련한 중요한 위험인 [발생한 모든 거래는 정확하고 완전하게 총계정원장에 집계되어야 한다. ]에 대해 완전히 고려되고 있음. </t>
  </si>
  <si>
    <t>FR-040-60</t>
    <phoneticPr fontId="4" type="noConversion"/>
  </si>
  <si>
    <t>FR-040-60-10</t>
  </si>
  <si>
    <t>우발부채 및 약정사항은 정확하게 기록되어야 한다.</t>
    <phoneticPr fontId="4" type="noConversion"/>
  </si>
  <si>
    <t>우발부채 및 약정사항과 소송사건이 주석에서 누락된다.</t>
  </si>
  <si>
    <t xml:space="preserve">우발부채 및 약정사항 검토 </t>
    <phoneticPr fontId="4" type="noConversion"/>
  </si>
  <si>
    <t>재경팀 담당자는 금융기관으로부터 여신현황, 법무팀의 소송사건 내역을 확인하여 우발부채 및 약정사항을 작성한다.</t>
    <phoneticPr fontId="4" type="noConversion"/>
  </si>
  <si>
    <t>우발부채 및 약정사항 주석</t>
    <phoneticPr fontId="2" type="noConversion"/>
  </si>
  <si>
    <t>결산담당 전결권자는 약정 및 우발사항에 대한 주석공시 사항이 적절한지 검토 후 승인한다.</t>
    <phoneticPr fontId="4" type="noConversion"/>
  </si>
  <si>
    <t>우발부채 주석공시내역</t>
    <phoneticPr fontId="4" type="noConversion"/>
  </si>
  <si>
    <t>【문서검사】
1. 표본기간 중 결산일을 모집단으로 하여 표본수에 해당하는 우발부채 체크리스트 및 재무제표(주석포함)를 추출한다.
2. 우발부채 주석공시 금액의 추정이 정확한지를 근거자료를 검토하여 확인한다.
3. 주석의 약정 및 우발사항이 누락없이 정확히 재무제표에 반영되었는지 확인한다.
4. 이에 대한 전결권자의 승인 여부를 확인한다.</t>
    <phoneticPr fontId="4" type="noConversion"/>
  </si>
  <si>
    <t xml:space="preserve">본 통제활동에서 다루는 우발부채 및 약정사항 검토 는 거래의 연간 발생 빈도 및 중요도를 고려하여 주기를 Q로 설정하였으며 통제 수행빈도는 해당 위험의 적시 예방 적발을 위해 적절하다고 판단됨. </t>
  </si>
  <si>
    <t xml:space="preserve">해당 통제와 관련한 중요한 위험인 [우발부채 및 약정사항은 정확하게 기록되어야 한다. ]에 대해 완전히 고려되고 있음. </t>
  </si>
  <si>
    <t>FR-050</t>
    <phoneticPr fontId="2" type="noConversion"/>
  </si>
  <si>
    <t>법인세비용관리</t>
  </si>
  <si>
    <t>FR-050-10</t>
    <phoneticPr fontId="2" type="noConversion"/>
  </si>
  <si>
    <t>FR-050-10-20</t>
  </si>
  <si>
    <t>법인세 세무조정은 누락됨이 없이 완전하고 정확하게 이루어져야 한다.</t>
  </si>
  <si>
    <t>세무조정사항의 누락 및 기초 자료의 오류 등에 의하여 세무조정에 오류가 발생할 위험</t>
  </si>
  <si>
    <t>세무조정시 상위자의 검토</t>
  </si>
  <si>
    <t>세무조정결과의 계산근거와 업무분장된 분석자료는 권한있는 상위자에 의하여 문서검사, 분석, 승인되어야 한다.</t>
  </si>
  <si>
    <t>이연법인세자산, 당기법인세자산, 법인세비용</t>
    <phoneticPr fontId="2" type="noConversion"/>
  </si>
  <si>
    <t>이연법인세 검토 MRC</t>
    <phoneticPr fontId="4" type="noConversion"/>
  </si>
  <si>
    <t xml:space="preserve">1. 세무조정계산서 및 근거자료는 외부전문가에게 제출되어 검토를 의뢰하고 있음.
2. 외부전문가는 세무조정계산서의 완전성 및 정확성에 대해 검토한 후 세무조정계산서에 날인을 실시하며, 날인된 세무조정계산서는 회사에 인계가 이루어짐. 
3. 날인된 세무조정계산서에 대하여 승인권자의 승인을 득한 후, 국세청 전자신고를 이용하여 법인세 신고를 외부전문가에게 의뢰함. 신고시 접수증, 납부영수증을 출력하여 법인세 납부에 사용하는 한편, 외부전문가의 날인이 포함된 세무조정계산서,결산서,감사보고서를 익월 말 일 내에 관할 세무서에 제출함. 
4. 관련 승인권자의 검토 및 승인내역은 세무조정 Checklist와 함께 별도 보관이 이루어지고 있음.
</t>
    <phoneticPr fontId="4" type="noConversion"/>
  </si>
  <si>
    <t xml:space="preserve">1. 경영지원팀의 담당자가 외부전문가가 수행한 세무조정에 대한 검토를 수행하고 있음.
2. 세무조정 결과의 적절성에 대한 내부적인 검토 및 추가 승인절차는 존재하지 않음. </t>
    <phoneticPr fontId="4" type="noConversion"/>
  </si>
  <si>
    <t>세무조정 보고자료</t>
    <phoneticPr fontId="4" type="noConversion"/>
  </si>
  <si>
    <t>【문서검사】
세무조정 보고자료를 징구하여 권한 있는 상위자의 검토 및 승인을 득하였는지 확인한다.</t>
    <phoneticPr fontId="4" type="noConversion"/>
  </si>
  <si>
    <t xml:space="preserve">본 통제활동에서 다루는 세무조정시 상위자의 검토는 거래의 연간 발생 빈도 및 중요도를 고려하여 주기를 A로 설정하였으며 통제 수행빈도는 해당 위험의 적시 예방 적발을 위해 적절하다고 판단됨. </t>
  </si>
  <si>
    <t xml:space="preserve">해당 통제와 관련한 중요한 위험인 [법인세 세무조정은 누락됨이 없이 완전하고 정확하게 이루어져야 한다. ]에 대해 완전히 고려되고 있음. </t>
  </si>
  <si>
    <t>세무조정 Checklist의 구비 및 세무조정에 대한 내부검토</t>
  </si>
  <si>
    <t>[현황]
외부전문가가 수행한 업무를 제시받아 회사가 검토함. 
[잠재적위험]
이연법인세 등 세무조정사항에 대하여 회사가 세부항목을 관리하고 증감의 정확성을 검토하는 절차가 누락되어 법인세비용이 부정확하거나 완전하지 아니할 위험.</t>
    <phoneticPr fontId="2" type="noConversion"/>
  </si>
  <si>
    <t xml:space="preserve">회사가 직접 법인세 조정업무를 수행한 후 외부전문가의 업무와 비교하는 절차를 구비한다. </t>
    <phoneticPr fontId="2" type="noConversion"/>
  </si>
  <si>
    <t>FR-060</t>
    <phoneticPr fontId="2" type="noConversion"/>
  </si>
  <si>
    <t>부가가치세 관리</t>
  </si>
  <si>
    <t>FR-060-20</t>
    <phoneticPr fontId="2" type="noConversion"/>
  </si>
  <si>
    <t>FR-060-20-10</t>
  </si>
  <si>
    <t>부가가치세 신고 금액은 정확히 계산되어야 한다.</t>
  </si>
  <si>
    <t>부정확한 부가가치세신고로 인해 부가가치세를 과다 또는 과소 납부할 위험 및 향후 가산세를 추징당할 위험</t>
  </si>
  <si>
    <t>매출액과 부가가치세과세표준의 대사</t>
  </si>
  <si>
    <t>회계상 매출액과 부가가치세 과세표준은 신고기간별로 대사되며 차이가 발생하는 경우 그 원인을 파악하고 해당 거래에 대한 검토가 이루어져야 한다.</t>
  </si>
  <si>
    <t>부가가치세 예수금</t>
    <phoneticPr fontId="2" type="noConversion"/>
  </si>
  <si>
    <t>1. 경영지원팀에서는 부가세신고에 있어 전자세금계산서 등의 발행 및 수취내역과 회계처리내역을 비교 검토하고 있으며, 차이가 발생할 경우 원인을 분석하는 한편, 회계처리의 수정 및 보완 또는 부가가치세 신고서의 수정등 절차를 수행하고 있음
2. 부가세 신고에 있어 매출과 차이가 나는 경우는 고정자산 매각 및 간주임대료 등이 존재하며 이러한 차이내역은 부가세신고시에 관련 내역을 경영지원팀내에서 검토 및 보고를 수행하고 있음</t>
    <phoneticPr fontId="4" type="noConversion"/>
  </si>
  <si>
    <t>부가세예수금,부가세대급금 보조원장,매입매출장,부가세신고서</t>
    <phoneticPr fontId="4" type="noConversion"/>
  </si>
  <si>
    <t>【문서검사】
부가가치세신고내역과 회사 매출액을 신고기간별로 대사하고 차이내역에 대한 검토 및 승인이 이루어지고 있는지 확인</t>
    <phoneticPr fontId="4" type="noConversion"/>
  </si>
  <si>
    <t xml:space="preserve">본 통제활동에서 다루는 매출액과 부가가치세과세표준의 대사는 거래의 연간 발생 빈도 및 중요도를 고려하여 주기를 Q로 설정하였으며 통제 수행빈도는 해당 위험의 적시 예방 적발을 위해 적절하다고 판단됨. </t>
  </si>
  <si>
    <t xml:space="preserve">해당 통제와 관련한 중요한 위험인 [부가가치세 신고 금액은 정확히 계산되어야 한다. ]에 대해 완전히 고려되고 있음. </t>
  </si>
  <si>
    <t>IT</t>
  </si>
  <si>
    <t>정보시스템관리</t>
  </si>
  <si>
    <t>IT-020</t>
    <phoneticPr fontId="2" type="noConversion"/>
  </si>
  <si>
    <t>정보보안</t>
  </si>
  <si>
    <t>IT-020-10</t>
    <phoneticPr fontId="2" type="noConversion"/>
  </si>
  <si>
    <t>IT-020-10-30</t>
  </si>
  <si>
    <t>재무보고 시스템과 그 하부시스템들은 승인받지 않은 사용과 정보공개, 변경, 데이터의 손상이나 손실로 부터 적절히 보호되고 있다.</t>
  </si>
  <si>
    <t>적절하지 못한 보안정책 및 대응절차로 인하여 비인가자에 의한 재무 데이터 변경 및 손실로 부터 보호되지 못할 위험</t>
  </si>
  <si>
    <t>사용자 계정 생성/변경/폐기 관리</t>
  </si>
  <si>
    <t>사용자 계정을 적시에 생성, 제공, 정지 및 폐쇄하는 것을 보증하기 위한 절차가 존재하고 준수된다.</t>
  </si>
  <si>
    <t xml:space="preserve">회사는 현재 마스터1개,회계3개,인사1개 총 5개의 계정을 사용하고 있음. 
1. ID의 생성은 위하고 웹을 통하여 가능함.
2. 마스터 ID로 접속하여 각 계정에 대하여 세부 권한을 부여 및 회수 할 수 있음. </t>
    <phoneticPr fontId="4" type="noConversion"/>
  </si>
  <si>
    <t>ERP권한 부여 현황</t>
    <phoneticPr fontId="4" type="noConversion"/>
  </si>
  <si>
    <t>【질문 및 재수행】
모듈별 사용권한에 대해 질문하고 업무모듈별 권한부여내역과 현재 권한부여 현황을 대사함</t>
    <phoneticPr fontId="4" type="noConversion"/>
  </si>
  <si>
    <t>전결권자</t>
    <phoneticPr fontId="4" type="noConversion"/>
  </si>
  <si>
    <t xml:space="preserve">본 통제활동에서 다루는 사용자 계정 생성/변경/폐기 관리는 거래의 연간 발생 빈도 및 중요도를 고려하여 주기를 Q로 설정하였으며 통제 수행빈도는 해당 위험의 적시 예방 적발을 위해 적절하다고 판단됨. </t>
  </si>
  <si>
    <t xml:space="preserve">해당 통제와 관련한 중요한 위험인 [재무보고 시스템과 그 하부시스템들은 승인받지 않은 사용과 정보공개, 변경, 데이터의 손상이나 손실로 부터 적절히 보호되고 있다. ]에 대해 완전히 고려되고 있음. </t>
  </si>
  <si>
    <t>IT-020-20</t>
    <phoneticPr fontId="2" type="noConversion"/>
  </si>
  <si>
    <t>IT-020-20-10</t>
  </si>
  <si>
    <t>경영진의 보안 의지가 조직내에 효과적으로 반영되어야 한다.</t>
  </si>
  <si>
    <t>경영진의 보안의지가 불충분하게 표현되어 불충분한 보안관리 및 보안의식이 형성될 위험</t>
  </si>
  <si>
    <t>보안정책-보안서약서</t>
  </si>
  <si>
    <t>신입사원 채용 및 임직원의 퇴사 시 비밀유지서약서가 작성되어 보관된다.</t>
  </si>
  <si>
    <t>1. 입사 및 퇴사시에 비밀유지계약서를 작성하여 관리하고 있음.</t>
    <phoneticPr fontId="4" type="noConversion"/>
  </si>
  <si>
    <t>입/퇴사자 명단</t>
    <phoneticPr fontId="4" type="noConversion"/>
  </si>
  <si>
    <t>【문서검사】
표본기간 중 입퇴사자 명단을 입수하여 표본을 선정함.
1. 해당 표본이 작성한 비밀유지계약서가 있는지 확인함</t>
    <phoneticPr fontId="4" type="noConversion"/>
  </si>
  <si>
    <t xml:space="preserve">본 통제활동에서 다루는 보안정책-보안서약서는 거래의 연간 발생 빈도 및 중요도를 고려하여 주기를 M로 설정하였으며 통제 수행빈도는 해당 위험의 적시 예방 적발을 위해 적절하다고 판단됨. </t>
  </si>
  <si>
    <t xml:space="preserve">해당 통제와 관련한 중요한 위험인 [경영진의 보안 의지가 조직내에 효과적으로 반영되어야 한다. ]에 대해 완전히 고려되고 있음. </t>
  </si>
  <si>
    <t>노정희
유헌종</t>
    <phoneticPr fontId="2" type="noConversion"/>
  </si>
  <si>
    <t>외부서비스제공자의 변경 사항을 적시에 식별하여 효과적으로 재무보고 및 내부회계관리제도를 운영한다.</t>
    <phoneticPr fontId="4" type="noConversion"/>
  </si>
  <si>
    <t xml:space="preserve">1. '내부회계관리규정 및 업무지침'에 따라 외부서비스제공자 관리 대장을 주기적으로 점검 업데이트하고 외부서비스제공자의 변경 사항이 내부회계관리제도에 미치는 영향을 재평가 및 문서화('OSP List')한다.
</t>
    <phoneticPr fontId="4" type="noConversion"/>
  </si>
  <si>
    <t>샘플수</t>
    <phoneticPr fontId="2" type="noConversion"/>
  </si>
  <si>
    <t>1. 승인된 전표는 아마란스상에 로그로 전부 기록되어 있음
2. 증빙의 재사용을 방지하기 위해, 법인카드 사용 내역은 카드사의 원 데이터를 그대로 끌어오는 형태이고, 통장 역시 은행의 데이터를 끌어오는 형태
개인이 사용한 비용의 경우에는 증빙을 첨부함 
따라서 하나의 증빙을 여러 개의 전표에 사용 할 수 없는 시스템임. 또한 해당 전표의 검토 과정을 거쳐 승인이 이루어지고 있음</t>
    <phoneticPr fontId="4" type="noConversion"/>
  </si>
  <si>
    <t>1. 회사는 연차촉진제를 수행하고 있음에 따라 원칙적으로 미사용연차에 대한 수당을 지급하지 않으나, 미사용분에 대해 50만원을 한도로 1일 7만원의 금액을 기타수당의 명목으로 지급하고 있음.
2. 연차휴가는 인트라원시스템을 통해 신청이 이루어지고 있으며, 해당 팀장이 관련 연차에 대한 승인을 실시함. 
3. 분기별 연차사용내역에 대한 관리 및 집계를 수행하고 있음
4. 경영지원팀 인사담당자는 결산시 각 인원별 연차내역 및 급여관련 자료에 근거하여 연차충당부채를 계산하고 있으며, 계산결과에 근거하여 회계전표를 작성함. 작성된 회계전표는 연차충당부채 계산내역과 함께 전결권자의 승인을 득함. 
5. 전결권자는 다음의 관점에서 연차충당부채 설정의 적절성에 대한 검토를 실시함
- 연차충당부채 설정대상 인원의 누락이 없는지여부
- 연차충당부채 계산시 사용된 급여와 실제 급여와의 일치여부
- 연차충당부채 계산시 사용된 근속연수의 일치여부</t>
    <phoneticPr fontId="4" type="noConversion"/>
  </si>
  <si>
    <t>1. 회사는 연차촉진제를 수행하고 있음에 따라 원칙적으로 미사용연차에 대한 수당을 지급하지 않으나, 미사용분에 대해 50만원을 한도로 1일 7만원의 금액을 기타수당의 명목으로 지급하고 있음.
2. 연차휴가는 인트라원시스템을 통해 신청이 이루어지고 있으며, 해당 팀장이 관련 연차에 대한 승인을 실시함. 
3. 분기별로 연차사용내역에 대한 관리 및 집계를 수행하고 있음
4. 연차충당부채에 대해 현재는 회사가 직접 회계처리를 수행하지 않고 감사인의 수정을 통해 회계처리가 이루어짐</t>
    <phoneticPr fontId="4" type="noConversion"/>
  </si>
  <si>
    <t>1. &lt;xxx실, 팀&gt;담당자는 각 거래처별 대금 회수 조건을 관리하고 있으며, 매월말 대금 회수 기간이 경과하였음에도 회수되지 않는 채권에 대해서는 매월말 집계하여 영업담당자에게 통보함. 
2. 각 영업담당자는 원인을 조사하여 경영지원팀 담당자 및 경영지원팀장에게 문서로 보고함.
3. 경영지원팀 담당자는 경영지원팀의 승인을 받은 문서에 근거하여 회계처리를 함.</t>
    <phoneticPr fontId="4" type="noConversion"/>
  </si>
  <si>
    <t>1. &lt;xxx실, 팀&gt;담당자는 각 거래처별 대금 회수 조건을 관리하고 있으며, 매월말 대금 회수 기간이 경과하였음에도 회수되지 않는 채권에 대해서는 매월말 집계하여 영업담당자에게 통보함. 
2. 각 영업담당자는 원인을 조사하여 경영지원팀 담당자 및 경영지원팀장에게 문서로 보고함.</t>
    <phoneticPr fontId="4" type="noConversion"/>
  </si>
  <si>
    <t xml:space="preserve">1. 회사는 대부분의 매출대금을 현금으로 회수하고 있으며, 일부거래처에 대해서는 전자어음을 수령하고 있음(전자어음의 경우 은행을 통해 만기 입금이 이루어짐)
2. 경영지원팀의 자금담당자는 수시로 통장상의 입금내역을 확인(주거래통장은 더존과 연동되어 수시로 확인, 기타 통장은 월별로 확인)하며, 입금발생시 영업부서에 입금내역에 대한 통지를 실시함.
3. 입금내역에 대한 영업부서의 확인 후 경영지원팀 담당자는 입금전표를 작성하고관련 증빙을 첨부하여 전결권자로부터의 검토 및 승인을 진행하고 있으며, 입금내역이 반영된 자금일계표를 작성하여 일계표에 대한 승인절차를 진행함. </t>
    <phoneticPr fontId="4" type="noConversion"/>
  </si>
  <si>
    <t xml:space="preserve">1. 경영지원팀의 자금담당자는 입금발생시 영업부서에 입금내역에 대한 통지를 실시함.
2. 경영지원실에서는 입금내역을 확인하여 영업부서에 공유함.
3. 경영지원실의 자금담당자는 채권과 입금액을 상계하는 입금전표를 작성함. 
4. 경영지원팀에서는 월별로 입금처리가 완료된 거래처별 채권리스트를 작성하여 영업팀에 송부하며, 영업팀에서는 관리하고 있는 채권리스트와 경영지원팀에서 송부된 회계상의 채권리스트가 일치하는지에 대한 확인을 실시함. </t>
    <phoneticPr fontId="4" type="noConversion"/>
  </si>
  <si>
    <t xml:space="preserve">1. 자금팀 담당자는 결산결과에 따른 미지급리스트를 근거로 월간지출계획서를 2026년에 작성 할 예정이며, 지출계획서상에는 각 거래처별 결제일에 근거한 자금지출계획, 차입금에 대한 상환 및 이자지급계획이 포함됨.
2. 지출계획에 따른 자금지출일에 자금담당자는 출금결의서를 작성하고 있음. 출금결의서상에는 거래처, 지급금액, 거래처은행 및 계좌번호, 예금주가 기재되어 있음. 출금결의서의 작성에 있어 거래처 및 지급금액은 승인완료된 미지급금에 근거하며, 지출결의서 등 사전 승인여부를 재확인함. 거래처에 대한 계좌정보(은행, 예금주, 계좌번호)는 별도로 관리되고 있는 계좌마스터상의 계좌정보에 근거하여 작성이 이루어짐. 
3. 또한, 출금결의서의 작성에 있어 이체리스트를 별도로 작성하고 있으며, 이체리스트에는 패스워드를 설정하여 추후 임의적인 수정을 제한함. 
4. 작성된 출금결의서, 이체리스트 및 관련 증빙(승인된 지출결의서, 회계상의 미지급금리스트, 영수증 등 증빙)에 대해 전결권자의 승인을 득한 후 이후 출금절차를 진행함. </t>
    <phoneticPr fontId="4" type="noConversion"/>
  </si>
  <si>
    <t xml:space="preserve">1. 자금지출이 완료된 경우 경영지원팀 자금담당자가 지출내역에 근거하여 회계전표를 작성하고 있음.
2. 자금지출내역을 출금전표, 자금일계표 및 관련 증빙과 함께 전결권자의 검토 및 승인을 득함. </t>
    <phoneticPr fontId="4" type="noConversion"/>
  </si>
  <si>
    <t xml:space="preserve">1. 자금담당자는 입금 및 출금과 관련한 처리에 근거하여 자금주계표를 작성하고 있음. 자금일계표상에는 일별 자금수지(입금 및 출금내역), 회사가 보유하는 자금(은행별/계좌별 예금잔액)이 기재되어 관리됨
2. 자금담당자는 작성된 자금주계표상의 자금현황과 회계장부상의 잔액이 일치하는지를 확인함. 
3. 작성된 주계표는 경영지원실 전결권자 까지 보고가 이루어지며, 검토 및 승인을 득하여 관리됨.
4. 월별로 자금담당자는 각 은행별/계좌별 잔고증명서를 수취하여 주계표, 회계장부상의 잔액과 일치하는지를 확인하고, 확인내역에 대해 전결권자의 검토 및 승인을 득함. </t>
    <phoneticPr fontId="4" type="noConversion"/>
  </si>
  <si>
    <t xml:space="preserve">1. 회사는 자금운용지침을 2026년 재정하여, 여유자금의 운용방식에 대해서 사전에 정의할 예정임.
2. 자금운용지침상 상위권자 승인항목에 해당하는 경우에는 관련 투자에 대한 기안서를 작성하여 상위권자 혹은 투자심의위원회의 승인을 득한 후 자금의 집행 등을 수행하는 한편, 이를 근거로 회계처리를 실시하고 있음. 
3. 작성된 회계전표에 대해서 전결권자가 검토 및 승인을 실시함. </t>
    <phoneticPr fontId="4" type="noConversion"/>
  </si>
  <si>
    <t xml:space="preserve">1. 경영지원팀 외에서 작성하는 전표에 대해서는 모두 경영지원팀에서 검토를 통해 승인등이 이루어지고 있음.
2. 전표에 대한 수정이 발생할 경우 수정에 대한 이력이 남도록 되어 있음(일자, 수정자, 시간 등). 
3. 경영지원팀 담당자는 전표의 수정이 필요한 경우, 관련 전표의 승인을 보류하고, 각 현업담당자에게 문서형식으로 전표의 수정을 요청하고 있으며, 전표수정이 발생한 경우 기존전표와 수정된 전표 및 관련 수정요청내역과 함께 내부승인을 득하고 있음. 
</t>
    <phoneticPr fontId="4" type="noConversion"/>
  </si>
  <si>
    <t xml:space="preserve">1. 구매요청부서에서는 구매요청품의를 작성하여 경영지원팀과 협의 후 각 전결권자의 승인을 득함. 이후 구매(매입)는 경영지원팀에서 진행함, 기타의 경비와 관련해서는 경영지원실에서 지출결의서와 작성하여 승인을 득하고 있음. 
2. 경영지원팀에서는 거래명세서와 세금계산서를 수취하며 수취한 세금계산서를 참조하여 회계처리를 실시함.
3. 세금계산서를 수취하지 않는 거래는 발생 즉시 회계처리를 실시하지는 않으며, 지출결의서 작성시 경비구분을 표시하여 경영지원팀에 전달하고 경영지원팀에서 전표를 작성함. </t>
    <phoneticPr fontId="4" type="noConversion"/>
  </si>
  <si>
    <t xml:space="preserve">1. ERP는 전표 작성 후 시스템상 승인을 실시해야 관련 회계처리가 총계정원장에 이기되도록 시스템화되어 있음. 
2. 전표를 아마란스에서 상위권자의 승인을 득하고 있으며, 상위권자는 관련 전표를 확인 후 시스템상에서의 전표승인을 수행하는 경우 관련 전표가 총계정원장에 이기됨 </t>
    <phoneticPr fontId="4" type="noConversion"/>
  </si>
  <si>
    <t>1. '내부회계관리규정'(외부서비스제공자)에 외부서비스제공자 (Outsourced Service Provider, 이하 OSP)에 관한 절차를 수립 및 운영하고 있음.
1) 업무프로세스 분석 과정에서 외부서비스제공자에게 의존하는 재무정보의 작성 및 공시에 영향을 미치는 프로세스가 있는지 식별하고 이를 'OSP List'("서비스 조직 위험평가")에 문서화함.
2) 식별된 내부회계 관련 서비스 조직에 대해서는 다음을 고려하여 서비스 조직 활동의 중요도를 결정하고 이를 문서화함.
- 재무제표와 관련하여 서비스 조직이 처리한 거래나 정보의 금액적 중요성
- 서비스 조직의 프로세스에 의해 영향을 받는 경영진 주장과 관련하여 중요하게 누락  또는 왜곡표시될 위험 (부정위험을 포함)
- 서비스 조직이 제공하는 서비스의 성격과 복잡성
- 서비스가 많은 회사에서 널리 사용되고 표준화되었는지 혹은 일부 기업에서만  사용되는지 여부
- 서비스 조직의 프로세스와 통제활동을 관리하는 회사의 프로세스와 통제활동이 충분하게 정교한지 여부 
- 서비스 조직의 프로세스에 영향을 받는 회사의 거래와 관련된 통제활동의 수준
3) 서비스 조직의 위험평가에 따른 중요도는 2단계(Higher, Not Higher)로 구분하고, 그 중요도에 따라 다음과 같이 관리함
■ 고위험 서비스 조직("Higher"로 평가된 경우)
- 내부회계 전담조직은 서비스 조직을 관리하는 현업부서에 ① 또는 ② 를 갖추도록 요구
     ① (원칙) 서비스 조직의 통제에 대한 인증보고서(SOC Report 1) 징구하고, 서비스 조직이 수행하는 활동에 관련된 회사의 통제활동 수립
     ② (예외) 서비스 조직에 SOC Report 징구가 여의치 않은 경우에는 서비스 조직을 관리하는 현업부서에서 다음의 절차 수행  
          - 재무제표 왜곡표시와 관련하여 서비스 조직이 수행하는 통제활동 식별
          - 서비스 조직이 수행하는 활동에 관련된 회사의 통제활동 수립 
- 정기적인 독립적 평가 수행: 매년 1회 내부회계 평가과정을 통해 서비스 조직 담당자(해당 OSP를 담당하는 현업 담당자)는 정기적으로 독립적 평가(separate evaluation)를 수행함
    ①  SOC 1 Report에 대한 검토 수행(SOC Report를 수령하는 경우)
         - Report type의 적정성: 설계운영평가 모두 포함 여부 확인
         - 범위(scope) 적정성: 관련이 있는 업무활동과 통제가 명시적으로 포함되어 있는지 여부 확인
         - 제외사항의 함의(implication): sub-servicers 가 제외된 경우 어떤 대체적인 방법을 취할지 판단 필요
         - 인증 보고서의 Cover 기간의 충분성
         - 프로세스 및 통제활동, 테스트 내역 기술의 충분성
         - 예외사항(deficiency) 존재 여부
         - 회사(user organization)에 의해 수행되어야 할 user control이 적절히 고려되었는지 여부 확인
     ② 필요 시(SOC report를 제공하지 않거나 리스크가 중대한 경우), 서비스 조직을 직접 감사하거나, 서비스 조직의 통제활동을 직접 테스트 함.
■ 저위험 서비스 조직("Not Higher"로 평가된 경우)
• SOC Report 징구 불필요, 독립적인 평가 불필요
• OSP 담당자(해당 OSP를 담당하는 현업 담당자)가 다음과 같은 형태의 상시적인 모니터링(평가)을 함
   - OSP 담당자와의 정기적인 회의
   - Service level에 대한 모니터링
   - OSP로부터의 정기적인 보고(예: 정기보고사항 및 회사에 영향을 줄 수 있는 변화사항 포함)
   - OSP에서 처리/제공된 거래나 데이터에 대한 spot checking
   - OSP가 제공하는 정보의 확인/입증을 위한 정기적인 OSP 방문</t>
    <phoneticPr fontId="4" type="noConversion"/>
  </si>
  <si>
    <t xml:space="preserve">자금지출과 관련하여 부당한 자금지출이 이루어지지 않도록 다음과 같은 내부통제절차를 구비 및 개선해야함. 
① 거래처 마스터를 관리하고, 관련 거래처 마스터의 임의 입력, 수정 및 접근제한 절차를 수립하는 한편, 관련 마스터의 변경과 관련한 내부프로세스(거래처 신규/변경 의뢰서의 작성 및 승인, 승인된 거래처정보의 적절한 입력 및 변경여부에 대한 검토 등)를 구비하여야함. 또한, 정해진 담당자 이외의 자가 관련 거래처마스터에 접근하지 못하도록 제한해야함. 
② 현행 자금담당자가 임의로 거래처정보(거래처명 및 계좌정보)를 입력하지 못하도록 다음과 같은 내부통제 프로세스를 구비하여야함. 
- 인터넷뱅킹을 통한 자금이체는 직접입력이 아닌 자금이체파일을 통해서만 이루어지도록 제한.
- 자금이체파일을 자금담당자가 아닌 타인이 작성하도록 하고(가급적 시스템 산출정보), 관련 이체파일을 자금담당자가 검토를 할 수 있는 권한만 부여(수정입력제한)
- 자금이체파일상의 지급정보가 실제 사전에 승인받은 지급액 및 거래처 마스터 등과 일치하는지에 대한 상위권자의 검토
</t>
    <phoneticPr fontId="2" type="noConversion"/>
  </si>
  <si>
    <t>전용남</t>
    <phoneticPr fontId="2" type="noConversion"/>
  </si>
  <si>
    <t>이단비
채새롬</t>
    <phoneticPr fontId="2" type="noConversion"/>
  </si>
  <si>
    <r>
      <t>1. 더존상 임직원의 계좌번호를 관리하고 있으며, CFO 1인만이 동 계좌번호에 대한 접근권한이 존재함. 
2. 더존상의 계좌번호에 근거하여 더존에서 이체파일이 생성되며, 동 이체파일을 편집 후 은행에 송부하여 급여에 대한 지급절차를 수행함. 
3. 급여의 지급은 입사시 설정한 국민은행 계좌만을 통해 이루어지고 있음에 따라</t>
    </r>
    <r>
      <rPr>
        <sz val="9"/>
        <color rgb="FFFF0000"/>
        <rFont val="맑은 고딕"/>
        <family val="3"/>
        <charset val="129"/>
        <scheme val="minor"/>
      </rPr>
      <t>,</t>
    </r>
    <r>
      <rPr>
        <sz val="9"/>
        <rFont val="맑은 고딕"/>
        <family val="3"/>
        <charset val="129"/>
        <scheme val="minor"/>
      </rPr>
      <t xml:space="preserve"> 중도 계좌의 변경 등은 발생하지 않음 </t>
    </r>
    <phoneticPr fontId="4" type="noConversion"/>
  </si>
  <si>
    <t>HR-030-10-10</t>
    <phoneticPr fontId="2" type="noConversion"/>
  </si>
  <si>
    <t>채새롬
이단비</t>
    <phoneticPr fontId="2" type="noConversion"/>
  </si>
  <si>
    <t>노정희</t>
    <phoneticPr fontId="2" type="noConversion"/>
  </si>
  <si>
    <t>구분</t>
    <phoneticPr fontId="2" type="noConversion"/>
  </si>
  <si>
    <t>프로세스</t>
    <phoneticPr fontId="2" type="noConversion"/>
  </si>
  <si>
    <t>KEY CONTROL
핵심통제</t>
    <phoneticPr fontId="2" type="noConversion"/>
  </si>
  <si>
    <t>기말 (25.12월)</t>
    <phoneticPr fontId="2" type="noConversion"/>
  </si>
  <si>
    <t>설계평가</t>
    <phoneticPr fontId="2" type="noConversion"/>
  </si>
  <si>
    <t>운영평가</t>
    <phoneticPr fontId="2" type="noConversion"/>
  </si>
  <si>
    <t>감사인평가</t>
    <phoneticPr fontId="2" type="noConversion"/>
  </si>
  <si>
    <t>비고</t>
    <phoneticPr fontId="2" type="noConversion"/>
  </si>
  <si>
    <t>소계</t>
    <phoneticPr fontId="2" type="noConversion"/>
  </si>
  <si>
    <t>총계</t>
    <phoneticPr fontId="2" type="noConversion"/>
  </si>
  <si>
    <t>매출계약 전표승인, 신용한도內 채권관리, 대손설정 外</t>
    <phoneticPr fontId="2" type="noConversion"/>
  </si>
  <si>
    <t>인터넷뱅킹 이중보안, 투자자산 취득/처분 통제 外</t>
    <phoneticPr fontId="2" type="noConversion"/>
  </si>
  <si>
    <t>유형자산 취득/처분 승인, 상각비 계산 정확성 外</t>
    <phoneticPr fontId="2" type="noConversion"/>
  </si>
  <si>
    <t>인사기록카드 관리, 급여/퇴직금 산정 승인 및 정확성 外</t>
    <phoneticPr fontId="2" type="noConversion"/>
  </si>
  <si>
    <t>지출결의서 승인, 판매수수료정산 검토 外</t>
    <phoneticPr fontId="2" type="noConversion"/>
  </si>
  <si>
    <t>윤리경영정책, 내부회계관리제도 및 감사위원회 감독기능 外</t>
    <phoneticPr fontId="2" type="noConversion"/>
  </si>
  <si>
    <t>ERP 사용자계정관리, 보안서약서 外</t>
    <phoneticPr fontId="2" type="noConversion"/>
  </si>
  <si>
    <t>결산규정구비, 회계처리, 지급전표 업무분장 外</t>
    <phoneticPr fontId="2" type="noConversion"/>
  </si>
  <si>
    <t>→ 27년도에는 (26년도 작성할때)</t>
    <phoneticPr fontId="2" type="noConversion"/>
  </si>
  <si>
    <t xml:space="preserve">유의적인 미비점, 개선사항도 카운팅해서 열 추가 </t>
    <phoneticPr fontId="2" type="noConversion"/>
  </si>
  <si>
    <t>유의적인미비점</t>
    <phoneticPr fontId="2" type="noConversion"/>
  </si>
  <si>
    <t>개선항목</t>
    <phoneticPr fontId="2" type="noConversion"/>
  </si>
  <si>
    <t>매출전표 승인 보안필요 등 비고사항 구체화</t>
    <phoneticPr fontId="2" type="noConversion"/>
  </si>
  <si>
    <t>업무
수준
통제</t>
    <phoneticPr fontId="2" type="noConversion"/>
  </si>
  <si>
    <t>지원조직평가</t>
    <phoneticPr fontId="2" type="noConversion"/>
  </si>
  <si>
    <t>평가결과</t>
    <phoneticPr fontId="2" type="noConversion"/>
  </si>
  <si>
    <t>회계감사인평가</t>
    <phoneticPr fontId="2" type="noConversion"/>
  </si>
  <si>
    <t xml:space="preserve">1. 금융상품의 처분사유가 발생할 경우 자금담당자는 관련 처분에 대한 기안서를 작성하여 전결권자의 승인을 득함. 
2. 금융상품의 처분이 완료된 경우 자금담당자는 처분과 관련한 증빙 및 입금내역에 근거하여 회계전표를 작성함. 
3. 작성된 회계전표에 대해서 전결권자가 검토 및 승인을 실시함. </t>
    <phoneticPr fontId="4" type="noConversion"/>
  </si>
  <si>
    <t>-</t>
    <phoneticPr fontId="2" type="noConversion"/>
  </si>
  <si>
    <t>1. 홈페이지에서 사이버신문고(익명)를 운영하고 있으며, 접수된 내용은 OOOO팀 및 대표이사에게 이메일이 발송된다.
2. OOOO팀에서는 접수된 내용에 대해 조사를 실시하고, 그 결과를 대표이사에게 보고한다.
3. 사안에 따라 징계위원회를 개최하고, 그 결과에 따라 조치를 취하며, 유사 사례 발생 방지를 위해 관련 교육을 실시한다.
4. "취업규칙 및 징계운영기준"에 징계의 종류 및 징계사유를 기술하고, 징계심의에 대한 절차 등을 명확히 기술하고 있으며, 윤리규범 및 회사정책 위반시 징계절차에 따라 징계를 받는다.
4. "취업규칙 및 징계운영기준"에 따르면 징계사유가 발생시 징계위원회를 개최하고, 징계사유 및 징계위원회의 결과에 따라 견책, 감봉, 정직, 해고의 징계를 받도록 하고 있다.</t>
    <phoneticPr fontId="4" type="noConversion"/>
  </si>
  <si>
    <t>내부회계관리제도에 대한 전사 교육 및 절차, 지침 리마인드/전반적인 프로세스 개선 필요</t>
    <phoneticPr fontId="2" type="noConversion"/>
  </si>
  <si>
    <t>퇴사시 면담결과서 누락없이 진행 권고</t>
    <phoneticPr fontId="2" type="noConversion"/>
  </si>
  <si>
    <t>자체 금융상품평가서 작성 및 장부 반영 필요</t>
    <phoneticPr fontId="2" type="noConversion"/>
  </si>
  <si>
    <t>대손충당금 산정 보고 및 승인 필요</t>
    <phoneticPr fontId="2" type="noConversion"/>
  </si>
  <si>
    <t>1. 신규 거래처 등록이나 변경 등록 시, 영업담당자는 고객정보변경/등록요청서를 작성하여 담당부서장의 승인을 받고 있으며, 승인 받은 요청서에 근거하여 접근권한을 부여 받은 경영지원팀 담당자가 등록을 하고 있음.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</si>
</sst>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Red]\(#,##0\);\-"/>
    <numFmt numFmtId="177" formatCode="#,###"/>
  </numFmts>
  <fonts count="25">
    <font>
      <sz val="11"/>
      <color theme="1"/>
      <name val="맑은 고딕"/>
      <family val="2"/>
      <charset val="129"/>
      <scheme val="minor"/>
    </font>
    <font>
      <sz val="11"/>
      <name val="돋움"/>
      <family val="3"/>
      <charset val="129"/>
    </font>
    <font>
      <sz val="8"/>
      <name val="맑은 고딕"/>
      <family val="2"/>
      <charset val="129"/>
      <scheme val="minor"/>
    </font>
    <font>
      <sz val="8"/>
      <name val="돋움"/>
      <family val="3"/>
      <charset val="129"/>
    </font>
    <font>
      <sz val="8"/>
      <name val="바탕체"/>
      <family val="1"/>
      <charset val="129"/>
    </font>
    <font>
      <sz val="10"/>
      <name val="Arial"/>
      <family val="2"/>
    </font>
    <font>
      <sz val="8"/>
      <name val="맑은 고딕"/>
      <family val="3"/>
      <charset val="129"/>
      <scheme val="minor"/>
    </font>
    <font>
      <sz val="10"/>
      <color theme="1"/>
      <name val="나눔고딕"/>
      <family val="2"/>
      <charset val="129"/>
    </font>
    <font>
      <b/>
      <sz val="9"/>
      <name val="맑은 고딕"/>
      <family val="3"/>
      <charset val="129"/>
      <scheme val="minor"/>
    </font>
    <font>
      <b/>
      <i/>
      <sz val="9"/>
      <name val="맑은 고딕"/>
      <family val="3"/>
      <charset val="129"/>
      <scheme val="minor"/>
    </font>
    <font>
      <sz val="9"/>
      <name val="맑은 고딕"/>
      <family val="3"/>
      <charset val="129"/>
      <scheme val="minor"/>
    </font>
    <font>
      <sz val="11"/>
      <name val="맑은 고딕"/>
      <family val="3"/>
      <charset val="129"/>
      <scheme val="minor"/>
    </font>
    <font>
      <b/>
      <sz val="9"/>
      <color theme="0"/>
      <name val="맑은 고딕"/>
      <family val="3"/>
      <charset val="129"/>
      <scheme val="minor"/>
    </font>
    <font>
      <sz val="9"/>
      <color theme="0"/>
      <name val="맑은 고딕"/>
      <family val="3"/>
      <charset val="129"/>
      <scheme val="minor"/>
    </font>
    <font>
      <b/>
      <sz val="10"/>
      <name val="맑은 고딕"/>
      <family val="3"/>
      <charset val="129"/>
      <scheme val="minor"/>
    </font>
    <font>
      <i/>
      <sz val="9"/>
      <name val="맑은 고딕"/>
      <family val="3"/>
      <charset val="129"/>
      <scheme val="minor"/>
    </font>
    <font>
      <b/>
      <sz val="6"/>
      <color theme="0"/>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name val="맑은 고딕"/>
      <family val="3"/>
      <charset val="129"/>
      <scheme val="minor"/>
    </font>
    <font>
      <sz val="11"/>
      <color theme="1"/>
      <name val="맑은 고딕"/>
      <family val="2"/>
      <charset val="129"/>
      <scheme val="minor"/>
    </font>
    <font>
      <b/>
      <sz val="9"/>
      <color theme="1"/>
      <name val="맑은 고딕"/>
      <family val="3"/>
      <charset val="129"/>
      <scheme val="minor"/>
    </font>
  </fonts>
  <fills count="9">
    <fill>
      <patternFill patternType="none"/>
    </fill>
    <fill>
      <patternFill patternType="gray125"/>
    </fill>
    <fill>
      <patternFill patternType="solid">
        <fgColor theme="4"/>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CC"/>
      </patternFill>
    </fill>
  </fills>
  <borders count="52">
    <border>
      <left/>
      <right/>
      <top/>
      <bottom/>
      <diagonal/>
    </border>
    <border>
      <left/>
      <right/>
      <top/>
      <bottom style="medium">
        <color indexed="64"/>
      </bottom>
      <diagonal/>
    </border>
    <border>
      <left style="hair">
        <color theme="0" tint="-4.9989318521683403E-2"/>
      </left>
      <right style="hair">
        <color theme="0" tint="-4.9989318521683403E-2"/>
      </right>
      <top/>
      <bottom/>
      <diagonal/>
    </border>
    <border>
      <left style="hair">
        <color theme="0" tint="-4.9989318521683403E-2"/>
      </left>
      <right/>
      <top/>
      <bottom/>
      <diagonal/>
    </border>
    <border>
      <left style="hair">
        <color theme="0" tint="-4.9989318521683403E-2"/>
      </left>
      <right style="hair">
        <color theme="0" tint="-4.9989318521683403E-2"/>
      </right>
      <top style="hair">
        <color theme="0" tint="-4.9989318521683403E-2"/>
      </top>
      <bottom style="hair">
        <color theme="0" tint="-4.9989318521683403E-2"/>
      </bottom>
      <diagonal/>
    </border>
    <border>
      <left style="hair">
        <color rgb="FFF2F2F2"/>
      </left>
      <right style="hair">
        <color rgb="FFF2F2F2"/>
      </right>
      <top style="hair">
        <color rgb="FFF2F2F2"/>
      </top>
      <bottom style="hair">
        <color rgb="FFF2F2F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op>
      <bottom/>
      <diagonal/>
    </border>
    <border>
      <left/>
      <right/>
      <top style="thin">
        <color theme="0"/>
      </top>
      <bottom/>
      <diagonal/>
    </border>
    <border>
      <left/>
      <right style="thin">
        <color theme="0" tint="-4.9989318521683403E-2"/>
      </right>
      <top style="thin">
        <color theme="0"/>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style="thin">
        <color rgb="FFF2F2F2"/>
      </left>
      <right/>
      <top style="hair">
        <color rgb="FFF2F2F2"/>
      </top>
      <bottom/>
      <diagonal/>
    </border>
    <border>
      <left/>
      <right style="thin">
        <color rgb="FFF2F2F2"/>
      </right>
      <top style="hair">
        <color rgb="FFF2F2F2"/>
      </top>
      <bottom/>
      <diagonal/>
    </border>
    <border>
      <left style="thin">
        <color rgb="FFF2F2F2"/>
      </left>
      <right/>
      <top style="thin">
        <color rgb="FFF2F2F2"/>
      </top>
      <bottom/>
      <diagonal/>
    </border>
    <border>
      <left/>
      <right/>
      <top style="thin">
        <color rgb="FFF2F2F2"/>
      </top>
      <bottom/>
      <diagonal/>
    </border>
    <border>
      <left/>
      <right style="thin">
        <color rgb="FFF2F2F2"/>
      </right>
      <top style="thin">
        <color rgb="FFF2F2F2"/>
      </top>
      <bottom/>
      <diagonal/>
    </border>
    <border>
      <left style="thin">
        <color rgb="FFF2F2F2"/>
      </left>
      <right style="thin">
        <color theme="0"/>
      </right>
      <top style="thin">
        <color rgb="FFF2F2F2"/>
      </top>
      <bottom style="thin">
        <color theme="0"/>
      </bottom>
      <diagonal/>
    </border>
    <border>
      <left style="thin">
        <color theme="0"/>
      </left>
      <right style="thin">
        <color theme="0"/>
      </right>
      <top style="thin">
        <color rgb="FFF2F2F2"/>
      </top>
      <bottom style="thin">
        <color theme="0"/>
      </bottom>
      <diagonal/>
    </border>
    <border>
      <left style="thin">
        <color theme="0" tint="-4.9989318521683403E-2"/>
      </left>
      <right style="thin">
        <color theme="0" tint="-4.9989318521683403E-2"/>
      </right>
      <top/>
      <bottom style="thin">
        <color indexed="64"/>
      </bottom>
      <diagonal/>
    </border>
    <border>
      <left style="thin">
        <color theme="0" tint="-4.9989318521683403E-2"/>
      </left>
      <right/>
      <top/>
      <bottom style="thin">
        <color indexed="64"/>
      </bottom>
      <diagonal/>
    </border>
    <border>
      <left/>
      <right/>
      <top/>
      <bottom style="thin">
        <color indexed="64"/>
      </bottom>
      <diagonal/>
    </border>
    <border>
      <left/>
      <right style="thin">
        <color theme="0" tint="-4.9989318521683403E-2"/>
      </right>
      <top/>
      <bottom style="thin">
        <color indexed="64"/>
      </bottom>
      <diagonal/>
    </border>
    <border>
      <left/>
      <right style="thin">
        <color theme="0" tint="-4.9989318521683403E-2"/>
      </right>
      <top/>
      <bottom/>
      <diagonal/>
    </border>
    <border>
      <left style="thin">
        <color rgb="FFF2F2F2"/>
      </left>
      <right/>
      <top/>
      <bottom style="thin">
        <color indexed="64"/>
      </bottom>
      <diagonal/>
    </border>
    <border>
      <left/>
      <right style="thin">
        <color rgb="FFF2F2F2"/>
      </right>
      <top/>
      <bottom style="thin">
        <color indexed="64"/>
      </bottom>
      <diagonal/>
    </border>
    <border>
      <left style="thin">
        <color rgb="FFF2F2F2"/>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left>
      <right/>
      <top style="thin">
        <color rgb="FFF2F2F2"/>
      </top>
      <bottom style="thin">
        <color theme="0"/>
      </bottom>
      <diagonal/>
    </border>
    <border>
      <left style="thin">
        <color theme="0"/>
      </left>
      <right/>
      <top style="thin">
        <color theme="0"/>
      </top>
      <bottom style="thin">
        <color indexed="64"/>
      </bottom>
      <diagonal/>
    </border>
    <border>
      <left/>
      <right style="thin">
        <color theme="0" tint="-4.9989318521683403E-2"/>
      </right>
      <top style="thin">
        <color theme="0" tint="-4.9989318521683403E-2"/>
      </top>
      <bottom style="thin">
        <color theme="0" tint="-4.9989318521683403E-2"/>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top style="thin">
        <color indexed="64"/>
      </top>
      <bottom style="thin">
        <color indexed="64"/>
      </bottom>
      <diagonal/>
    </border>
  </borders>
  <cellStyleXfs count="9">
    <xf numFmtId="0" fontId="0" fillId="0" borderId="0">
      <alignment vertical="center"/>
    </xf>
    <xf numFmtId="0" fontId="1" fillId="0" borderId="0"/>
    <xf numFmtId="0" fontId="1" fillId="0" borderId="0"/>
    <xf numFmtId="0" fontId="5" fillId="0" borderId="0"/>
    <xf numFmtId="0" fontId="1" fillId="0" borderId="0">
      <alignment vertical="center"/>
    </xf>
    <xf numFmtId="0" fontId="5" fillId="0" borderId="0"/>
    <xf numFmtId="0" fontId="1" fillId="0" borderId="0">
      <alignment vertical="center"/>
    </xf>
    <xf numFmtId="0" fontId="7" fillId="0" borderId="0">
      <alignment vertical="center"/>
    </xf>
    <xf numFmtId="0" fontId="23" fillId="8" borderId="49" applyNumberFormat="0" applyFont="0" applyAlignment="0" applyProtection="0">
      <alignment vertical="center"/>
    </xf>
  </cellStyleXfs>
  <cellXfs count="191">
    <xf numFmtId="0" fontId="0" fillId="0" borderId="0" xfId="0">
      <alignment vertical="center"/>
    </xf>
    <xf numFmtId="176" fontId="8" fillId="0" borderId="0" xfId="1" applyNumberFormat="1" applyFont="1"/>
    <xf numFmtId="0" fontId="9" fillId="0" borderId="0" xfId="1" applyFont="1" applyAlignment="1">
      <alignment horizontal="center"/>
    </xf>
    <xf numFmtId="0" fontId="10" fillId="0" borderId="0" xfId="1" applyFont="1"/>
    <xf numFmtId="0" fontId="9" fillId="0" borderId="0" xfId="1" applyFont="1" applyAlignment="1">
      <alignment horizontal="left"/>
    </xf>
    <xf numFmtId="0" fontId="10" fillId="0" borderId="0" xfId="1" applyFont="1" applyAlignment="1">
      <alignment horizontal="center"/>
    </xf>
    <xf numFmtId="0" fontId="8" fillId="0" borderId="0" xfId="1" applyFont="1"/>
    <xf numFmtId="0" fontId="10" fillId="0" borderId="0" xfId="1" applyFont="1" applyAlignment="1">
      <alignment wrapText="1"/>
    </xf>
    <xf numFmtId="0" fontId="9" fillId="0" borderId="0" xfId="1" applyFont="1"/>
    <xf numFmtId="0" fontId="10" fillId="0" borderId="1" xfId="1" applyFont="1" applyBorder="1"/>
    <xf numFmtId="14" fontId="9" fillId="0" borderId="1" xfId="1" applyNumberFormat="1" applyFont="1" applyBorder="1" applyAlignment="1">
      <alignment horizontal="center"/>
    </xf>
    <xf numFmtId="0" fontId="10" fillId="0" borderId="1" xfId="1" applyFont="1" applyBorder="1" applyAlignment="1">
      <alignment horizontal="center"/>
    </xf>
    <xf numFmtId="0" fontId="8" fillId="0" borderId="1" xfId="1" applyFont="1" applyBorder="1" applyAlignment="1">
      <alignment horizontal="center"/>
    </xf>
    <xf numFmtId="0" fontId="8" fillId="0" borderId="1" xfId="1" applyFont="1" applyBorder="1"/>
    <xf numFmtId="0" fontId="10" fillId="0" borderId="0" xfId="0" applyFont="1" applyAlignment="1">
      <alignment vertical="center"/>
    </xf>
    <xf numFmtId="0" fontId="10" fillId="0" borderId="0" xfId="1" applyFont="1" applyAlignment="1">
      <alignment horizontal="center" wrapText="1"/>
    </xf>
    <xf numFmtId="0" fontId="10" fillId="0" borderId="0" xfId="0" applyFont="1" applyAlignment="1">
      <alignment horizontal="center" vertical="center"/>
    </xf>
    <xf numFmtId="0" fontId="8" fillId="0" borderId="0" xfId="0" applyFont="1" applyAlignment="1">
      <alignment vertical="center"/>
    </xf>
    <xf numFmtId="177" fontId="8" fillId="2" borderId="2" xfId="2" applyNumberFormat="1" applyFont="1" applyFill="1" applyBorder="1" applyAlignment="1">
      <alignment horizontal="center" textRotation="67" wrapText="1"/>
    </xf>
    <xf numFmtId="177" fontId="8" fillId="2" borderId="3" xfId="2" applyNumberFormat="1" applyFont="1" applyFill="1" applyBorder="1" applyAlignment="1">
      <alignment horizontal="center" textRotation="67" wrapText="1"/>
    </xf>
    <xf numFmtId="0" fontId="8" fillId="0" borderId="0" xfId="1" applyFont="1" applyAlignment="1">
      <alignment wrapText="1"/>
    </xf>
    <xf numFmtId="177" fontId="8" fillId="3" borderId="4" xfId="2" applyNumberFormat="1" applyFont="1" applyFill="1" applyBorder="1" applyAlignment="1">
      <alignment horizontal="center" textRotation="60" wrapText="1"/>
    </xf>
    <xf numFmtId="177" fontId="8" fillId="4" borderId="4" xfId="2" applyNumberFormat="1" applyFont="1" applyFill="1" applyBorder="1" applyAlignment="1">
      <alignment horizontal="center" textRotation="60" wrapText="1"/>
    </xf>
    <xf numFmtId="177" fontId="8" fillId="0" borderId="4" xfId="2" applyNumberFormat="1" applyFont="1" applyBorder="1" applyAlignment="1">
      <alignment horizontal="center" textRotation="60" wrapText="1"/>
    </xf>
    <xf numFmtId="0" fontId="10" fillId="0" borderId="4" xfId="1" applyFont="1" applyBorder="1" applyAlignment="1">
      <alignment horizontal="center" wrapText="1"/>
    </xf>
    <xf numFmtId="0" fontId="8" fillId="3" borderId="5" xfId="0" applyFont="1" applyFill="1" applyBorder="1" applyAlignment="1">
      <alignment horizontal="center" textRotation="60" wrapText="1"/>
    </xf>
    <xf numFmtId="0" fontId="8" fillId="4" borderId="7" xfId="3" applyFont="1" applyFill="1" applyBorder="1" applyAlignment="1">
      <alignment horizontal="center" vertical="center" wrapText="1"/>
    </xf>
    <xf numFmtId="0" fontId="8" fillId="4" borderId="16" xfId="3" applyFont="1" applyFill="1" applyBorder="1" applyAlignment="1">
      <alignment horizontal="center" vertical="center" wrapText="1"/>
    </xf>
    <xf numFmtId="0" fontId="14" fillId="5" borderId="34" xfId="4" applyFont="1" applyFill="1" applyBorder="1" applyAlignment="1">
      <alignment horizontal="center" vertical="center" wrapText="1"/>
    </xf>
    <xf numFmtId="0" fontId="14" fillId="5" borderId="35" xfId="4" applyFont="1" applyFill="1" applyBorder="1" applyAlignment="1">
      <alignment horizontal="center" vertical="center" wrapText="1"/>
    </xf>
    <xf numFmtId="0" fontId="10" fillId="0" borderId="36" xfId="5" applyFont="1" applyBorder="1" applyAlignment="1">
      <alignment horizontal="center" vertical="center" wrapText="1"/>
    </xf>
    <xf numFmtId="0" fontId="10" fillId="0" borderId="36" xfId="6" applyFont="1" applyBorder="1" applyAlignment="1">
      <alignment horizontal="center" vertical="center" wrapText="1"/>
    </xf>
    <xf numFmtId="0" fontId="10" fillId="0" borderId="36" xfId="1" applyFont="1" applyBorder="1" applyAlignment="1">
      <alignment horizontal="center" vertical="center" wrapText="1"/>
    </xf>
    <xf numFmtId="0" fontId="10" fillId="0" borderId="36" xfId="6" applyFont="1" applyBorder="1" applyAlignment="1">
      <alignment vertical="center" wrapText="1"/>
    </xf>
    <xf numFmtId="176" fontId="15" fillId="0" borderId="36" xfId="0" applyNumberFormat="1" applyFont="1" applyBorder="1" applyAlignment="1">
      <alignment vertical="center"/>
    </xf>
    <xf numFmtId="176" fontId="15" fillId="0" borderId="36" xfId="0" applyNumberFormat="1" applyFont="1" applyBorder="1" applyAlignment="1">
      <alignment horizontal="center" vertical="center"/>
    </xf>
    <xf numFmtId="0" fontId="10" fillId="0" borderId="36" xfId="0" applyFont="1" applyBorder="1" applyAlignment="1">
      <alignment vertical="center" wrapText="1"/>
    </xf>
    <xf numFmtId="0" fontId="10" fillId="0" borderId="36" xfId="0" applyFont="1" applyBorder="1" applyAlignment="1">
      <alignment horizontal="center" vertical="center" wrapText="1"/>
    </xf>
    <xf numFmtId="0" fontId="15" fillId="0" borderId="36" xfId="1" applyFont="1" applyBorder="1" applyAlignment="1">
      <alignment horizontal="center" vertical="center" wrapText="1"/>
    </xf>
    <xf numFmtId="0" fontId="10" fillId="0" borderId="36" xfId="7" applyFont="1" applyBorder="1" applyAlignment="1">
      <alignment vertical="center" wrapText="1"/>
    </xf>
    <xf numFmtId="0" fontId="10" fillId="0" borderId="36" xfId="0" applyFont="1" applyFill="1" applyBorder="1" applyAlignment="1">
      <alignment vertical="center" wrapText="1"/>
    </xf>
    <xf numFmtId="0" fontId="10" fillId="0" borderId="36" xfId="5" applyFont="1" applyFill="1" applyBorder="1" applyAlignment="1">
      <alignment horizontal="center" vertical="center" wrapText="1"/>
    </xf>
    <xf numFmtId="0" fontId="10" fillId="0" borderId="36" xfId="6" applyFont="1" applyFill="1" applyBorder="1" applyAlignment="1">
      <alignment horizontal="center" vertical="center" wrapText="1"/>
    </xf>
    <xf numFmtId="0" fontId="10" fillId="0" borderId="36" xfId="1" applyFont="1" applyFill="1" applyBorder="1" applyAlignment="1">
      <alignment horizontal="center" vertical="center" wrapText="1"/>
    </xf>
    <xf numFmtId="0" fontId="10" fillId="0" borderId="36" xfId="6" applyFont="1" applyFill="1" applyBorder="1" applyAlignment="1">
      <alignment vertical="center" wrapText="1"/>
    </xf>
    <xf numFmtId="176" fontId="15" fillId="0" borderId="36" xfId="0" applyNumberFormat="1" applyFont="1" applyFill="1" applyBorder="1" applyAlignment="1">
      <alignment vertical="center"/>
    </xf>
    <xf numFmtId="176" fontId="15" fillId="0" borderId="36" xfId="0" applyNumberFormat="1" applyFont="1" applyFill="1" applyBorder="1" applyAlignment="1">
      <alignment horizontal="center" vertical="center"/>
    </xf>
    <xf numFmtId="0" fontId="10" fillId="0" borderId="36" xfId="0" applyFont="1" applyFill="1" applyBorder="1" applyAlignment="1">
      <alignment horizontal="center" vertical="center" wrapText="1"/>
    </xf>
    <xf numFmtId="0" fontId="15" fillId="0" borderId="36" xfId="1" applyFont="1" applyFill="1" applyBorder="1" applyAlignment="1">
      <alignment horizontal="center" vertical="center" wrapText="1"/>
    </xf>
    <xf numFmtId="0" fontId="10" fillId="0" borderId="36" xfId="7" applyFont="1" applyFill="1" applyBorder="1" applyAlignment="1">
      <alignment vertical="center" wrapText="1"/>
    </xf>
    <xf numFmtId="0" fontId="10" fillId="0" borderId="38" xfId="5" applyFont="1" applyFill="1" applyBorder="1" applyAlignment="1">
      <alignment horizontal="center" vertical="center" wrapText="1"/>
    </xf>
    <xf numFmtId="0" fontId="10" fillId="0" borderId="38" xfId="6" applyFont="1" applyFill="1" applyBorder="1" applyAlignment="1">
      <alignment horizontal="center" vertical="center" wrapText="1"/>
    </xf>
    <xf numFmtId="0" fontId="10" fillId="0" borderId="38" xfId="1" applyFont="1" applyFill="1" applyBorder="1" applyAlignment="1">
      <alignment horizontal="center" vertical="center" wrapText="1"/>
    </xf>
    <xf numFmtId="0" fontId="10" fillId="0" borderId="38" xfId="6" applyFont="1" applyFill="1" applyBorder="1" applyAlignment="1">
      <alignment vertical="center" wrapText="1"/>
    </xf>
    <xf numFmtId="176" fontId="15" fillId="0" borderId="38" xfId="0" applyNumberFormat="1" applyFont="1" applyFill="1" applyBorder="1" applyAlignment="1">
      <alignment vertical="center"/>
    </xf>
    <xf numFmtId="176" fontId="15" fillId="0" borderId="38" xfId="0" applyNumberFormat="1" applyFont="1" applyFill="1" applyBorder="1" applyAlignment="1">
      <alignment horizontal="center" vertical="center"/>
    </xf>
    <xf numFmtId="0" fontId="10" fillId="0" borderId="38" xfId="0" applyFont="1" applyFill="1" applyBorder="1" applyAlignment="1">
      <alignment vertical="center" wrapText="1"/>
    </xf>
    <xf numFmtId="0" fontId="10" fillId="0" borderId="38" xfId="0" applyFont="1" applyFill="1" applyBorder="1" applyAlignment="1">
      <alignment horizontal="center" vertical="center" wrapText="1"/>
    </xf>
    <xf numFmtId="0" fontId="15" fillId="0" borderId="38" xfId="1" applyFont="1" applyFill="1" applyBorder="1" applyAlignment="1">
      <alignment horizontal="center" vertical="center" wrapText="1"/>
    </xf>
    <xf numFmtId="0" fontId="10" fillId="0" borderId="38" xfId="7" applyFont="1" applyFill="1" applyBorder="1" applyAlignment="1">
      <alignment vertical="center" wrapText="1"/>
    </xf>
    <xf numFmtId="0" fontId="10" fillId="0" borderId="36" xfId="0" applyFont="1" applyFill="1" applyBorder="1" applyAlignment="1">
      <alignment horizontal="center" vertical="center"/>
    </xf>
    <xf numFmtId="0" fontId="10" fillId="0" borderId="40" xfId="5" applyFont="1" applyFill="1" applyBorder="1" applyAlignment="1">
      <alignment horizontal="center" vertical="center" wrapText="1"/>
    </xf>
    <xf numFmtId="0" fontId="10" fillId="0" borderId="40" xfId="6" applyFont="1" applyFill="1" applyBorder="1" applyAlignment="1">
      <alignment horizontal="center" vertical="center" wrapText="1"/>
    </xf>
    <xf numFmtId="0" fontId="10" fillId="0" borderId="40" xfId="1" applyFont="1" applyFill="1" applyBorder="1" applyAlignment="1">
      <alignment horizontal="center" vertical="center" wrapText="1"/>
    </xf>
    <xf numFmtId="0" fontId="10" fillId="0" borderId="40" xfId="6" applyFont="1" applyFill="1" applyBorder="1" applyAlignment="1">
      <alignment vertical="center" wrapText="1"/>
    </xf>
    <xf numFmtId="176" fontId="15" fillId="0" borderId="40" xfId="0" applyNumberFormat="1" applyFont="1" applyFill="1" applyBorder="1" applyAlignment="1">
      <alignment vertical="center"/>
    </xf>
    <xf numFmtId="176" fontId="15" fillId="0" borderId="40" xfId="0" applyNumberFormat="1" applyFont="1" applyFill="1" applyBorder="1" applyAlignment="1">
      <alignment horizontal="center" vertical="center"/>
    </xf>
    <xf numFmtId="0" fontId="10" fillId="0" borderId="40" xfId="0" applyFont="1" applyFill="1" applyBorder="1" applyAlignment="1">
      <alignment vertical="center" wrapText="1"/>
    </xf>
    <xf numFmtId="0" fontId="10" fillId="0" borderId="40" xfId="0" applyFont="1" applyFill="1" applyBorder="1" applyAlignment="1">
      <alignment horizontal="center" vertical="center" wrapText="1"/>
    </xf>
    <xf numFmtId="0" fontId="15" fillId="0" borderId="40" xfId="1" applyFont="1" applyFill="1" applyBorder="1" applyAlignment="1">
      <alignment horizontal="center" vertical="center" wrapText="1"/>
    </xf>
    <xf numFmtId="0" fontId="10" fillId="0" borderId="40" xfId="7" applyFont="1" applyFill="1" applyBorder="1" applyAlignment="1">
      <alignment vertical="center" wrapText="1"/>
    </xf>
    <xf numFmtId="0" fontId="10" fillId="0" borderId="36" xfId="0" applyFont="1" applyBorder="1" applyAlignment="1">
      <alignment vertical="center"/>
    </xf>
    <xf numFmtId="0" fontId="10" fillId="0" borderId="36" xfId="0" applyFont="1" applyBorder="1" applyAlignment="1">
      <alignment horizontal="left" vertical="center" wrapText="1"/>
    </xf>
    <xf numFmtId="0" fontId="11" fillId="0" borderId="0" xfId="0" applyFont="1">
      <alignment vertical="center"/>
    </xf>
    <xf numFmtId="177" fontId="16" fillId="4" borderId="4" xfId="2" applyNumberFormat="1" applyFont="1" applyFill="1" applyBorder="1" applyAlignment="1">
      <alignment horizontal="center" textRotation="60" wrapText="1"/>
    </xf>
    <xf numFmtId="0" fontId="14" fillId="5" borderId="43" xfId="4" applyFont="1" applyFill="1" applyBorder="1" applyAlignment="1">
      <alignment horizontal="center" vertical="center" wrapText="1"/>
    </xf>
    <xf numFmtId="0" fontId="10" fillId="0" borderId="45" xfId="5" applyFont="1" applyBorder="1" applyAlignment="1">
      <alignment horizontal="center" vertical="center" wrapText="1"/>
    </xf>
    <xf numFmtId="0" fontId="10" fillId="0" borderId="45" xfId="5" applyFont="1" applyFill="1" applyBorder="1" applyAlignment="1">
      <alignment horizontal="center" vertical="center" wrapText="1"/>
    </xf>
    <xf numFmtId="0" fontId="10" fillId="0" borderId="46" xfId="5" applyFont="1" applyFill="1" applyBorder="1" applyAlignment="1">
      <alignment horizontal="center" vertical="center" wrapText="1"/>
    </xf>
    <xf numFmtId="0" fontId="10" fillId="0" borderId="47" xfId="5" applyFont="1" applyFill="1" applyBorder="1" applyAlignment="1">
      <alignment horizontal="center" vertical="center" wrapText="1"/>
    </xf>
    <xf numFmtId="0" fontId="10" fillId="0" borderId="36" xfId="0" applyFont="1" applyBorder="1" applyAlignment="1">
      <alignment horizontal="center" vertical="center"/>
    </xf>
    <xf numFmtId="0" fontId="10" fillId="0" borderId="0" xfId="0" applyFont="1" applyFill="1" applyBorder="1" applyAlignment="1">
      <alignment vertical="top"/>
    </xf>
    <xf numFmtId="0" fontId="10" fillId="0" borderId="0" xfId="1" applyFont="1" applyBorder="1"/>
    <xf numFmtId="0" fontId="10" fillId="0" borderId="0" xfId="0" applyFont="1" applyBorder="1" applyAlignment="1">
      <alignment vertical="center"/>
    </xf>
    <xf numFmtId="0" fontId="10" fillId="0" borderId="0" xfId="0" applyFont="1" applyBorder="1" applyAlignment="1">
      <alignment vertical="top"/>
    </xf>
    <xf numFmtId="0" fontId="11" fillId="0" borderId="0" xfId="0" applyFont="1" applyBorder="1">
      <alignment vertical="center"/>
    </xf>
    <xf numFmtId="0" fontId="18" fillId="0" borderId="0" xfId="0" applyFont="1" applyAlignment="1">
      <alignment horizontal="center" vertical="center"/>
    </xf>
    <xf numFmtId="0" fontId="11" fillId="0" borderId="36" xfId="5" applyFont="1" applyBorder="1" applyAlignment="1">
      <alignment horizontal="center" vertical="center" wrapText="1"/>
    </xf>
    <xf numFmtId="0" fontId="18" fillId="0" borderId="0" xfId="0" applyFont="1">
      <alignment vertical="center"/>
    </xf>
    <xf numFmtId="0" fontId="11" fillId="0" borderId="36" xfId="5" applyFont="1" applyFill="1" applyBorder="1" applyAlignment="1">
      <alignment horizontal="center" vertical="center" wrapText="1"/>
    </xf>
    <xf numFmtId="0" fontId="11" fillId="0" borderId="36" xfId="5" applyFont="1" applyBorder="1" applyAlignment="1">
      <alignment horizontal="centerContinuous" vertical="center" wrapText="1"/>
    </xf>
    <xf numFmtId="0" fontId="18" fillId="0" borderId="36" xfId="0" applyFont="1" applyBorder="1">
      <alignment vertical="center"/>
    </xf>
    <xf numFmtId="0" fontId="18" fillId="0" borderId="36" xfId="0" applyFont="1" applyBorder="1" applyAlignment="1">
      <alignment horizontal="centerContinuous" vertical="center"/>
    </xf>
    <xf numFmtId="0" fontId="20" fillId="6" borderId="36" xfId="0" applyFont="1" applyFill="1" applyBorder="1" applyAlignment="1">
      <alignment horizontal="centerContinuous" vertical="center"/>
    </xf>
    <xf numFmtId="0" fontId="20" fillId="6" borderId="36" xfId="0" applyFont="1" applyFill="1" applyBorder="1" applyAlignment="1">
      <alignment horizontal="center" vertical="center"/>
    </xf>
    <xf numFmtId="0" fontId="20" fillId="7" borderId="36" xfId="0" applyFont="1" applyFill="1" applyBorder="1" applyAlignment="1">
      <alignment horizontal="center" vertical="center"/>
    </xf>
    <xf numFmtId="0" fontId="20" fillId="7" borderId="36" xfId="0" applyFont="1" applyFill="1" applyBorder="1">
      <alignment vertical="center"/>
    </xf>
    <xf numFmtId="0" fontId="19" fillId="0" borderId="36" xfId="0" applyFont="1" applyBorder="1" applyAlignment="1">
      <alignment horizontal="center" vertical="center"/>
    </xf>
    <xf numFmtId="0" fontId="20" fillId="8" borderId="49" xfId="8" applyFont="1" applyAlignment="1">
      <alignment horizontal="center" vertical="center"/>
    </xf>
    <xf numFmtId="0" fontId="19" fillId="8" borderId="49" xfId="8" applyFont="1" applyAlignment="1">
      <alignment horizontal="center" vertical="center"/>
    </xf>
    <xf numFmtId="0" fontId="18" fillId="8" borderId="49" xfId="8" applyFont="1">
      <alignment vertical="center"/>
    </xf>
    <xf numFmtId="0" fontId="20" fillId="8" borderId="49" xfId="8" applyFont="1" applyAlignment="1">
      <alignment horizontal="centerContinuous" vertical="center"/>
    </xf>
    <xf numFmtId="0" fontId="18" fillId="0" borderId="37" xfId="0" applyFont="1" applyBorder="1">
      <alignment vertical="center"/>
    </xf>
    <xf numFmtId="0" fontId="21" fillId="6" borderId="36" xfId="0" applyFont="1" applyFill="1" applyBorder="1" applyAlignment="1">
      <alignment horizontal="centerContinuous" vertical="center"/>
    </xf>
    <xf numFmtId="0" fontId="21" fillId="6" borderId="36" xfId="0" applyFont="1" applyFill="1" applyBorder="1" applyAlignment="1">
      <alignment horizontal="center" vertical="center" wrapText="1"/>
    </xf>
    <xf numFmtId="0" fontId="21" fillId="6" borderId="36" xfId="0" applyFont="1" applyFill="1" applyBorder="1" applyAlignment="1">
      <alignment horizontal="center" vertical="center"/>
    </xf>
    <xf numFmtId="0" fontId="12" fillId="4" borderId="6" xfId="3" applyFont="1" applyFill="1" applyBorder="1" applyAlignment="1">
      <alignment horizontal="center" vertical="center" wrapText="1"/>
    </xf>
    <xf numFmtId="0" fontId="8" fillId="4" borderId="7" xfId="3" applyFont="1" applyFill="1" applyBorder="1" applyAlignment="1">
      <alignment horizontal="center" vertical="center" wrapText="1"/>
    </xf>
    <xf numFmtId="14" fontId="9" fillId="0" borderId="0" xfId="1" applyNumberFormat="1" applyFont="1" applyAlignment="1">
      <alignment horizontal="left"/>
    </xf>
    <xf numFmtId="0" fontId="12" fillId="4" borderId="7" xfId="3" applyFont="1" applyFill="1" applyBorder="1" applyAlignment="1">
      <alignment horizontal="center" vertical="center" wrapText="1"/>
    </xf>
    <xf numFmtId="0" fontId="12" fillId="4" borderId="27" xfId="3" applyFont="1" applyFill="1" applyBorder="1" applyAlignment="1">
      <alignment horizontal="center" vertical="center" wrapText="1"/>
    </xf>
    <xf numFmtId="176" fontId="8" fillId="2" borderId="8" xfId="0" applyNumberFormat="1" applyFont="1" applyFill="1" applyBorder="1" applyAlignment="1">
      <alignment horizontal="center" vertical="center" wrapText="1"/>
    </xf>
    <xf numFmtId="176" fontId="8" fillId="2" borderId="9" xfId="0" applyNumberFormat="1" applyFont="1" applyFill="1" applyBorder="1" applyAlignment="1">
      <alignment horizontal="center" vertical="center" wrapText="1"/>
    </xf>
    <xf numFmtId="176" fontId="8" fillId="2" borderId="10" xfId="0" applyNumberFormat="1" applyFont="1" applyFill="1" applyBorder="1" applyAlignment="1">
      <alignment horizontal="center" vertical="center" wrapText="1"/>
    </xf>
    <xf numFmtId="176" fontId="8" fillId="2" borderId="28" xfId="0" applyNumberFormat="1" applyFont="1" applyFill="1" applyBorder="1" applyAlignment="1">
      <alignment horizontal="center" vertical="center" wrapText="1"/>
    </xf>
    <xf numFmtId="176" fontId="8" fillId="2" borderId="29" xfId="0" applyNumberFormat="1" applyFont="1" applyFill="1" applyBorder="1" applyAlignment="1">
      <alignment horizontal="center" vertical="center" wrapText="1"/>
    </xf>
    <xf numFmtId="176" fontId="8" fillId="2" borderId="30" xfId="0"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0" fontId="8" fillId="3" borderId="15" xfId="3" applyFont="1" applyFill="1" applyBorder="1" applyAlignment="1">
      <alignment horizontal="center" vertical="center" wrapText="1"/>
    </xf>
    <xf numFmtId="0" fontId="8" fillId="3" borderId="11" xfId="3" applyFont="1" applyFill="1" applyBorder="1" applyAlignment="1">
      <alignment horizontal="center" vertical="center" wrapText="1"/>
    </xf>
    <xf numFmtId="0" fontId="8" fillId="3" borderId="12" xfId="3" applyFont="1" applyFill="1" applyBorder="1" applyAlignment="1">
      <alignment horizontal="center" vertical="center" wrapText="1"/>
    </xf>
    <xf numFmtId="0" fontId="8" fillId="3" borderId="13" xfId="3" applyFont="1" applyFill="1" applyBorder="1" applyAlignment="1">
      <alignment horizontal="center" vertical="center" wrapText="1"/>
    </xf>
    <xf numFmtId="0" fontId="8" fillId="3" borderId="14" xfId="3" applyFont="1" applyFill="1" applyBorder="1" applyAlignment="1">
      <alignment horizontal="center" vertical="center" wrapText="1"/>
    </xf>
    <xf numFmtId="0" fontId="8" fillId="3" borderId="0" xfId="3" applyFont="1" applyFill="1" applyAlignment="1">
      <alignment horizontal="center" vertical="center" wrapText="1"/>
    </xf>
    <xf numFmtId="0" fontId="8" fillId="3" borderId="31" xfId="3" applyFont="1" applyFill="1" applyBorder="1" applyAlignment="1">
      <alignment horizontal="center" vertical="center" wrapText="1"/>
    </xf>
    <xf numFmtId="0" fontId="8" fillId="4" borderId="15" xfId="3" applyFont="1" applyFill="1" applyBorder="1" applyAlignment="1">
      <alignment horizontal="center" vertical="center" wrapText="1"/>
    </xf>
    <xf numFmtId="0" fontId="8" fillId="3" borderId="28" xfId="3" applyFont="1" applyFill="1" applyBorder="1" applyAlignment="1">
      <alignment horizontal="center" vertical="center" wrapText="1"/>
    </xf>
    <xf numFmtId="0" fontId="8" fillId="3" borderId="29" xfId="3" applyFont="1" applyFill="1" applyBorder="1" applyAlignment="1">
      <alignment horizontal="center" vertical="center" wrapText="1"/>
    </xf>
    <xf numFmtId="0" fontId="8" fillId="3" borderId="30" xfId="3" applyFont="1" applyFill="1" applyBorder="1" applyAlignment="1">
      <alignment horizontal="center" vertical="center" wrapText="1"/>
    </xf>
    <xf numFmtId="0" fontId="12" fillId="4" borderId="11" xfId="3" applyFont="1" applyFill="1" applyBorder="1" applyAlignment="1">
      <alignment horizontal="center" vertical="center" wrapText="1"/>
    </xf>
    <xf numFmtId="0" fontId="12" fillId="4" borderId="13" xfId="3" applyFont="1" applyFill="1" applyBorder="1" applyAlignment="1">
      <alignment horizontal="center" vertical="center" wrapText="1"/>
    </xf>
    <xf numFmtId="0" fontId="8" fillId="4" borderId="14" xfId="3" applyFont="1" applyFill="1" applyBorder="1" applyAlignment="1">
      <alignment horizontal="center" vertical="center" wrapText="1"/>
    </xf>
    <xf numFmtId="0" fontId="8" fillId="4" borderId="31" xfId="3" applyFont="1" applyFill="1" applyBorder="1" applyAlignment="1">
      <alignment horizontal="center" vertical="center" wrapText="1"/>
    </xf>
    <xf numFmtId="0" fontId="12" fillId="4" borderId="44" xfId="3" applyFont="1" applyFill="1" applyBorder="1" applyAlignment="1">
      <alignment horizontal="center" vertical="center" wrapText="1"/>
    </xf>
    <xf numFmtId="0" fontId="12" fillId="4" borderId="15" xfId="3" applyFont="1" applyFill="1" applyBorder="1" applyAlignment="1">
      <alignment horizontal="center" vertical="center" wrapText="1"/>
    </xf>
    <xf numFmtId="0" fontId="8" fillId="4" borderId="16" xfId="3" applyFont="1" applyFill="1" applyBorder="1" applyAlignment="1">
      <alignment horizontal="center" vertical="center" wrapText="1"/>
    </xf>
    <xf numFmtId="0" fontId="12" fillId="4" borderId="14" xfId="3" applyFont="1" applyFill="1" applyBorder="1" applyAlignment="1">
      <alignment horizontal="center" vertical="center" wrapText="1"/>
    </xf>
    <xf numFmtId="0" fontId="12" fillId="4" borderId="0" xfId="3" applyFont="1" applyFill="1" applyAlignment="1">
      <alignment horizontal="center" vertical="center" wrapText="1"/>
    </xf>
    <xf numFmtId="0" fontId="8" fillId="4" borderId="0" xfId="3" applyFont="1" applyFill="1" applyAlignment="1">
      <alignment horizontal="center" vertical="center" wrapText="1"/>
    </xf>
    <xf numFmtId="0" fontId="12" fillId="4" borderId="36" xfId="3"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1"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42" xfId="0" applyFont="1" applyFill="1" applyBorder="1" applyAlignment="1">
      <alignment horizontal="center" vertical="center"/>
    </xf>
    <xf numFmtId="0" fontId="8" fillId="4" borderId="11" xfId="3" applyFont="1" applyFill="1" applyBorder="1" applyAlignment="1">
      <alignment horizontal="center" vertical="center" wrapText="1"/>
    </xf>
    <xf numFmtId="0" fontId="8" fillId="4" borderId="12" xfId="3" applyFont="1" applyFill="1" applyBorder="1" applyAlignment="1">
      <alignment horizontal="center" vertical="center" wrapText="1"/>
    </xf>
    <xf numFmtId="0" fontId="8" fillId="4" borderId="13" xfId="3" applyFont="1" applyFill="1" applyBorder="1" applyAlignment="1">
      <alignment horizontal="center" vertical="center" wrapText="1"/>
    </xf>
    <xf numFmtId="0" fontId="13" fillId="4" borderId="15" xfId="3" applyFont="1" applyFill="1" applyBorder="1" applyAlignment="1">
      <alignment horizontal="center" vertical="center" wrapText="1"/>
    </xf>
    <xf numFmtId="0" fontId="8" fillId="4" borderId="6" xfId="3" applyFont="1" applyFill="1" applyBorder="1" applyAlignment="1">
      <alignment horizontal="center" vertical="center" wrapText="1"/>
    </xf>
    <xf numFmtId="0" fontId="8" fillId="4" borderId="27" xfId="3" applyFont="1" applyFill="1" applyBorder="1" applyAlignment="1">
      <alignment horizontal="center" vertical="center" wrapText="1"/>
    </xf>
    <xf numFmtId="0" fontId="8" fillId="4" borderId="17" xfId="3" applyFont="1" applyFill="1" applyBorder="1" applyAlignment="1">
      <alignment horizontal="center" vertical="center" wrapText="1"/>
    </xf>
    <xf numFmtId="0" fontId="8" fillId="4" borderId="18" xfId="3" applyFont="1" applyFill="1" applyBorder="1" applyAlignment="1">
      <alignment horizontal="center" vertical="center" wrapText="1"/>
    </xf>
    <xf numFmtId="0" fontId="8" fillId="4" borderId="19" xfId="3" applyFont="1" applyFill="1" applyBorder="1" applyAlignment="1">
      <alignment horizontal="center" vertical="center" wrapText="1"/>
    </xf>
    <xf numFmtId="0" fontId="20" fillId="7" borderId="37" xfId="0" applyFont="1" applyFill="1" applyBorder="1" applyAlignment="1">
      <alignment horizontal="center" vertical="center"/>
    </xf>
    <xf numFmtId="0" fontId="20" fillId="7" borderId="45" xfId="0" applyFont="1" applyFill="1" applyBorder="1" applyAlignment="1">
      <alignment horizontal="center" vertical="center"/>
    </xf>
    <xf numFmtId="0" fontId="22" fillId="7" borderId="37" xfId="5" applyFont="1" applyFill="1" applyBorder="1" applyAlignment="1">
      <alignment horizontal="center" vertical="center" wrapText="1"/>
    </xf>
    <xf numFmtId="0" fontId="22" fillId="7" borderId="45" xfId="5" applyFont="1" applyFill="1" applyBorder="1" applyAlignment="1">
      <alignment horizontal="center" vertical="center" wrapText="1"/>
    </xf>
    <xf numFmtId="0" fontId="20" fillId="6" borderId="39" xfId="0" applyFont="1" applyFill="1" applyBorder="1" applyAlignment="1">
      <alignment horizontal="center" vertical="center"/>
    </xf>
    <xf numFmtId="0" fontId="20" fillId="6" borderId="50" xfId="0" applyFont="1" applyFill="1" applyBorder="1" applyAlignment="1">
      <alignment horizontal="center" vertical="center"/>
    </xf>
    <xf numFmtId="0" fontId="20" fillId="6" borderId="46" xfId="0" applyFont="1" applyFill="1" applyBorder="1" applyAlignment="1">
      <alignment horizontal="center" vertical="center"/>
    </xf>
    <xf numFmtId="0" fontId="20" fillId="6" borderId="41" xfId="0" applyFont="1" applyFill="1" applyBorder="1" applyAlignment="1">
      <alignment horizontal="center" vertical="center"/>
    </xf>
    <xf numFmtId="0" fontId="20" fillId="6" borderId="29" xfId="0" applyFont="1" applyFill="1" applyBorder="1" applyAlignment="1">
      <alignment horizontal="center" vertical="center"/>
    </xf>
    <xf numFmtId="0" fontId="20" fillId="6" borderId="47" xfId="0" applyFont="1" applyFill="1" applyBorder="1" applyAlignment="1">
      <alignment horizontal="center" vertical="center"/>
    </xf>
    <xf numFmtId="0" fontId="24" fillId="7" borderId="37" xfId="0" applyFont="1" applyFill="1" applyBorder="1" applyAlignment="1">
      <alignment horizontal="center" vertical="center"/>
    </xf>
    <xf numFmtId="0" fontId="24" fillId="7" borderId="51" xfId="0" applyFont="1" applyFill="1" applyBorder="1" applyAlignment="1">
      <alignment horizontal="center" vertical="center"/>
    </xf>
    <xf numFmtId="0" fontId="24" fillId="7" borderId="45" xfId="0" applyFont="1" applyFill="1" applyBorder="1" applyAlignment="1">
      <alignment horizontal="center" vertical="center"/>
    </xf>
    <xf numFmtId="0" fontId="20" fillId="7" borderId="51" xfId="0" applyFont="1" applyFill="1" applyBorder="1" applyAlignment="1">
      <alignment horizontal="center" vertical="center"/>
    </xf>
    <xf numFmtId="0" fontId="19" fillId="0" borderId="37" xfId="0" applyFont="1" applyBorder="1" applyAlignment="1">
      <alignment horizontal="center" vertical="center"/>
    </xf>
    <xf numFmtId="0" fontId="19" fillId="0" borderId="51" xfId="0" applyFont="1" applyBorder="1" applyAlignment="1">
      <alignment horizontal="center" vertical="center"/>
    </xf>
    <xf numFmtId="0" fontId="19" fillId="0" borderId="45" xfId="0" applyFont="1" applyBorder="1" applyAlignment="1">
      <alignment horizontal="center" vertical="center"/>
    </xf>
    <xf numFmtId="0" fontId="21" fillId="6" borderId="38" xfId="0" applyFont="1" applyFill="1" applyBorder="1" applyAlignment="1">
      <alignment horizontal="center" vertical="center" wrapText="1"/>
    </xf>
    <xf numFmtId="0" fontId="21" fillId="6" borderId="40" xfId="0" applyFont="1" applyFill="1" applyBorder="1" applyAlignment="1">
      <alignment horizontal="center" vertical="center" wrapText="1"/>
    </xf>
    <xf numFmtId="0" fontId="20" fillId="6" borderId="38" xfId="0" applyFont="1" applyFill="1" applyBorder="1" applyAlignment="1">
      <alignment horizontal="center" vertical="center"/>
    </xf>
    <xf numFmtId="0" fontId="20" fillId="6" borderId="40" xfId="0" applyFont="1" applyFill="1" applyBorder="1" applyAlignment="1">
      <alignment horizontal="center" vertical="center"/>
    </xf>
    <xf numFmtId="0" fontId="18" fillId="0" borderId="38" xfId="0" applyFont="1" applyBorder="1" applyAlignment="1">
      <alignment horizontal="center" vertical="center" wrapText="1"/>
    </xf>
    <xf numFmtId="0" fontId="18" fillId="0" borderId="48" xfId="0" applyFont="1" applyBorder="1" applyAlignment="1">
      <alignment horizontal="center" vertical="center"/>
    </xf>
    <xf numFmtId="0" fontId="18" fillId="0" borderId="40" xfId="0" applyFont="1" applyBorder="1" applyAlignment="1">
      <alignment horizontal="center" vertical="center"/>
    </xf>
    <xf numFmtId="0" fontId="18" fillId="0" borderId="48" xfId="0" applyFont="1" applyBorder="1" applyAlignment="1">
      <alignment horizontal="center" vertical="center" wrapText="1"/>
    </xf>
    <xf numFmtId="0" fontId="18" fillId="0" borderId="40" xfId="0" applyFont="1" applyBorder="1" applyAlignment="1">
      <alignment horizontal="center" vertical="center" wrapText="1"/>
    </xf>
    <xf numFmtId="0" fontId="11" fillId="0" borderId="37" xfId="5" applyFont="1" applyBorder="1" applyAlignment="1">
      <alignment horizontal="center" vertical="center" wrapText="1"/>
    </xf>
    <xf numFmtId="0" fontId="11" fillId="0" borderId="45" xfId="5" applyFont="1" applyBorder="1" applyAlignment="1">
      <alignment horizontal="center" vertical="center" wrapText="1"/>
    </xf>
    <xf numFmtId="0" fontId="20" fillId="6" borderId="37" xfId="0" applyFont="1" applyFill="1" applyBorder="1" applyAlignment="1">
      <alignment horizontal="center" vertical="center"/>
    </xf>
    <xf numFmtId="0" fontId="20" fillId="6" borderId="51" xfId="0" applyFont="1" applyFill="1" applyBorder="1" applyAlignment="1">
      <alignment horizontal="center" vertical="center"/>
    </xf>
    <xf numFmtId="0" fontId="20" fillId="6" borderId="45" xfId="0" applyFont="1" applyFill="1" applyBorder="1" applyAlignment="1">
      <alignment horizontal="center" vertical="center"/>
    </xf>
  </cellXfs>
  <cellStyles count="9">
    <cellStyle name="메모" xfId="8" builtinId="10"/>
    <cellStyle name="표준" xfId="0" builtinId="0"/>
    <cellStyle name="표준 2" xfId="4"/>
    <cellStyle name="표준 2 2" xfId="3"/>
    <cellStyle name="표준 2 2 2" xfId="6"/>
    <cellStyle name="표준 3" xfId="1"/>
    <cellStyle name="표준 4" xfId="7"/>
    <cellStyle name="표준_8. TR_자금관리_Control Templete_20061210" xfId="5"/>
    <cellStyle name="표준_유형자산_Control Matrix_기흥_조상기_요금관리_Control Matrix_최필균" xfId="2"/>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9</xdr:col>
          <xdr:colOff>0</xdr:colOff>
          <xdr:row>51</xdr:row>
          <xdr:rowOff>121228</xdr:rowOff>
        </xdr:to>
        <xdr:pic>
          <xdr:nvPicPr>
            <xdr:cNvPr id="3" name="그림 2"/>
            <xdr:cNvPicPr>
              <a:picLocks noChangeAspect="1" noChangeArrowheads="1"/>
              <a:extLst>
                <a:ext uri="{84589F7E-364E-4C9E-8A38-B11213B215E9}">
                  <a14:cameraTool cellRange="$C$7:$I$18" spid="_x0000_s1119"/>
                </a:ext>
              </a:extLst>
            </xdr:cNvPicPr>
          </xdr:nvPicPr>
          <xdr:blipFill>
            <a:blip xmlns:r="http://schemas.openxmlformats.org/officeDocument/2006/relationships" r:embed="rId1"/>
            <a:srcRect/>
            <a:stretch>
              <a:fillRect/>
            </a:stretch>
          </xdr:blipFill>
          <xdr:spPr bwMode="auto">
            <a:xfrm>
              <a:off x="1368136" y="8555182"/>
              <a:ext cx="8468591" cy="293543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0</xdr:rowOff>
        </xdr:from>
        <xdr:to>
          <xdr:col>9</xdr:col>
          <xdr:colOff>4763</xdr:colOff>
          <xdr:row>67</xdr:row>
          <xdr:rowOff>4763</xdr:rowOff>
        </xdr:to>
        <xdr:pic>
          <xdr:nvPicPr>
            <xdr:cNvPr id="5" name="그림 4"/>
            <xdr:cNvPicPr>
              <a:picLocks noChangeAspect="1" noChangeArrowheads="1"/>
              <a:extLst>
                <a:ext uri="{84589F7E-364E-4C9E-8A38-B11213B215E9}">
                  <a14:cameraTool cellRange="$C$23:$I$34" spid="_x0000_s1120"/>
                </a:ext>
              </a:extLst>
            </xdr:cNvPicPr>
          </xdr:nvPicPr>
          <xdr:blipFill>
            <a:blip xmlns:r="http://schemas.openxmlformats.org/officeDocument/2006/relationships" r:embed="rId2"/>
            <a:srcRect/>
            <a:stretch>
              <a:fillRect/>
            </a:stretch>
          </xdr:blipFill>
          <xdr:spPr bwMode="auto">
            <a:xfrm>
              <a:off x="1371600" y="12158663"/>
              <a:ext cx="8462963" cy="25765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Z100"/>
  <sheetViews>
    <sheetView tabSelected="1" zoomScaleNormal="100" workbookViewId="0">
      <pane ySplit="7" topLeftCell="A8" activePane="bottomLeft" state="frozen"/>
      <selection pane="bottomLeft" activeCell="CE15" sqref="CE15"/>
    </sheetView>
  </sheetViews>
  <sheetFormatPr defaultRowHeight="16.5" outlineLevelRow="1" outlineLevelCol="1"/>
  <cols>
    <col min="1" max="1" width="4.875" style="73" customWidth="1"/>
    <col min="2" max="2" width="7" style="73" customWidth="1"/>
    <col min="3" max="6" width="9" style="73"/>
    <col min="7" max="7" width="10.875" style="73" customWidth="1"/>
    <col min="8" max="9" width="9" style="73"/>
    <col min="10" max="16" width="9" style="73" hidden="1" customWidth="1" outlineLevel="1"/>
    <col min="17" max="17" width="10.25" style="73" customWidth="1" collapsed="1"/>
    <col min="18" max="48" width="9" style="73" hidden="1" customWidth="1" outlineLevel="1"/>
    <col min="49" max="49" width="38" style="73" customWidth="1" collapsed="1"/>
    <col min="50" max="50" width="38" style="73" customWidth="1"/>
    <col min="51" max="77" width="9" style="73" hidden="1" customWidth="1" outlineLevel="1"/>
    <col min="78" max="78" width="9" style="85" collapsed="1"/>
    <col min="79" max="16384" width="9" style="85"/>
  </cols>
  <sheetData>
    <row r="1" spans="1:77" s="82" customFormat="1" ht="12">
      <c r="A1" s="1" t="s">
        <v>0</v>
      </c>
      <c r="B1" s="2"/>
      <c r="C1" s="3"/>
      <c r="D1" s="4" t="s">
        <v>1</v>
      </c>
      <c r="E1" s="5"/>
      <c r="F1" s="5"/>
      <c r="G1" s="3"/>
      <c r="H1" s="5"/>
      <c r="I1" s="3"/>
      <c r="J1" s="3"/>
      <c r="K1" s="3"/>
      <c r="L1" s="3"/>
      <c r="M1" s="3"/>
      <c r="N1" s="3"/>
      <c r="O1" s="3"/>
      <c r="P1" s="3"/>
      <c r="Q1" s="6"/>
      <c r="R1" s="6"/>
      <c r="S1" s="3"/>
      <c r="T1" s="3"/>
      <c r="U1" s="3"/>
      <c r="V1" s="3"/>
      <c r="W1" s="3"/>
      <c r="X1" s="3"/>
      <c r="Y1" s="3"/>
      <c r="Z1" s="3"/>
      <c r="AA1" s="3"/>
      <c r="AB1" s="3"/>
      <c r="AC1" s="3"/>
      <c r="AD1" s="3"/>
      <c r="AE1" s="3"/>
      <c r="AF1" s="3"/>
      <c r="AG1" s="3"/>
      <c r="AH1" s="3"/>
      <c r="AI1" s="3"/>
      <c r="AJ1" s="5"/>
      <c r="AK1" s="5"/>
      <c r="AL1" s="5"/>
      <c r="AM1" s="5"/>
      <c r="AN1" s="5"/>
      <c r="AO1" s="5"/>
      <c r="AP1" s="5"/>
      <c r="AQ1" s="5"/>
      <c r="AR1" s="5"/>
      <c r="AS1" s="5"/>
      <c r="AT1" s="5"/>
      <c r="AU1" s="5"/>
      <c r="AV1" s="5"/>
      <c r="AW1" s="3"/>
      <c r="AX1" s="3"/>
      <c r="AY1" s="5"/>
      <c r="AZ1" s="5"/>
      <c r="BA1" s="5"/>
      <c r="BB1" s="5"/>
      <c r="BC1" s="5"/>
      <c r="BD1" s="5"/>
      <c r="BE1" s="5"/>
      <c r="BF1" s="3"/>
      <c r="BG1" s="5"/>
      <c r="BH1" s="3"/>
      <c r="BI1" s="3"/>
      <c r="BJ1" s="3"/>
      <c r="BK1" s="3"/>
      <c r="BL1" s="3"/>
      <c r="BM1" s="3"/>
      <c r="BN1" s="3"/>
      <c r="BO1" s="3"/>
      <c r="BP1" s="3"/>
      <c r="BQ1" s="3"/>
      <c r="BR1" s="3"/>
      <c r="BS1" s="3"/>
      <c r="BT1" s="3"/>
      <c r="BU1" s="3"/>
      <c r="BV1" s="3"/>
      <c r="BW1" s="3"/>
      <c r="BX1" s="3"/>
      <c r="BY1" s="3"/>
    </row>
    <row r="2" spans="1:77" s="82" customFormat="1" ht="12">
      <c r="A2" s="8" t="s">
        <v>2</v>
      </c>
      <c r="B2" s="2"/>
      <c r="C2" s="3"/>
      <c r="D2" s="108">
        <v>46154</v>
      </c>
      <c r="E2" s="108"/>
      <c r="F2" s="5"/>
      <c r="G2" s="3"/>
      <c r="H2" s="5"/>
      <c r="I2" s="3"/>
      <c r="J2" s="3"/>
      <c r="K2" s="3"/>
      <c r="L2" s="3"/>
      <c r="M2" s="3"/>
      <c r="N2" s="3"/>
      <c r="O2" s="3"/>
      <c r="P2" s="3"/>
      <c r="Q2" s="6"/>
      <c r="R2" s="6"/>
      <c r="S2" s="3"/>
      <c r="T2" s="3"/>
      <c r="U2" s="3"/>
      <c r="V2" s="3"/>
      <c r="W2" s="3"/>
      <c r="X2" s="3"/>
      <c r="Y2" s="3"/>
      <c r="Z2" s="3"/>
      <c r="AA2" s="3"/>
      <c r="AB2" s="3"/>
      <c r="AC2" s="3"/>
      <c r="AD2" s="3"/>
      <c r="AE2" s="3"/>
      <c r="AF2" s="3"/>
      <c r="AG2" s="3"/>
      <c r="AH2" s="3"/>
      <c r="AI2" s="3"/>
      <c r="AJ2" s="5"/>
      <c r="AK2" s="5"/>
      <c r="AL2" s="5"/>
      <c r="AM2" s="5"/>
      <c r="AN2" s="5"/>
      <c r="AO2" s="5"/>
      <c r="AP2" s="5"/>
      <c r="AQ2" s="5"/>
      <c r="AR2" s="5"/>
      <c r="AS2" s="5"/>
      <c r="AT2" s="5"/>
      <c r="AU2" s="5"/>
      <c r="AV2" s="5"/>
      <c r="AW2" s="3"/>
      <c r="AX2" s="3"/>
      <c r="AY2" s="5"/>
      <c r="AZ2" s="5"/>
      <c r="BA2" s="5"/>
      <c r="BB2" s="5"/>
      <c r="BC2" s="5"/>
      <c r="BD2" s="5"/>
      <c r="BE2" s="5"/>
      <c r="BF2" s="3"/>
      <c r="BG2" s="5"/>
      <c r="BH2" s="3"/>
      <c r="BI2" s="3"/>
      <c r="BJ2" s="3"/>
      <c r="BK2" s="3"/>
      <c r="BL2" s="3"/>
      <c r="BM2" s="3"/>
      <c r="BN2" s="3"/>
      <c r="BO2" s="3"/>
      <c r="BP2" s="3"/>
      <c r="BQ2" s="3"/>
      <c r="BR2" s="3"/>
      <c r="BS2" s="3"/>
      <c r="BT2" s="3"/>
      <c r="BU2" s="3"/>
      <c r="BV2" s="3"/>
      <c r="BW2" s="3"/>
      <c r="BX2" s="3"/>
      <c r="BY2" s="3"/>
    </row>
    <row r="3" spans="1:77" s="82" customFormat="1" ht="12.75" thickBot="1">
      <c r="A3" s="9"/>
      <c r="B3" s="10"/>
      <c r="C3" s="11"/>
      <c r="D3" s="12"/>
      <c r="E3" s="12"/>
      <c r="F3" s="11"/>
      <c r="G3" s="9"/>
      <c r="H3" s="11"/>
      <c r="I3" s="9"/>
      <c r="J3" s="9"/>
      <c r="K3" s="9"/>
      <c r="L3" s="9"/>
      <c r="M3" s="9"/>
      <c r="N3" s="9"/>
      <c r="O3" s="9"/>
      <c r="P3" s="9"/>
      <c r="Q3" s="13"/>
      <c r="R3" s="13"/>
      <c r="S3" s="9"/>
      <c r="T3" s="9"/>
      <c r="U3" s="9"/>
      <c r="V3" s="9"/>
      <c r="W3" s="9"/>
      <c r="X3" s="9"/>
      <c r="Y3" s="9"/>
      <c r="Z3" s="9"/>
      <c r="AA3" s="9"/>
      <c r="AB3" s="9"/>
      <c r="AC3" s="9"/>
      <c r="AD3" s="9"/>
      <c r="AE3" s="9"/>
      <c r="AF3" s="9"/>
      <c r="AG3" s="9"/>
      <c r="AH3" s="9"/>
      <c r="AI3" s="9"/>
      <c r="AJ3" s="11"/>
      <c r="AK3" s="11"/>
      <c r="AL3" s="11"/>
      <c r="AM3" s="11"/>
      <c r="AN3" s="11"/>
      <c r="AO3" s="11"/>
      <c r="AP3" s="11"/>
      <c r="AQ3" s="11"/>
      <c r="AR3" s="11"/>
      <c r="AS3" s="11"/>
      <c r="AT3" s="11"/>
      <c r="AU3" s="11"/>
      <c r="AV3" s="11"/>
      <c r="AW3" s="9"/>
      <c r="AX3" s="9"/>
      <c r="AY3" s="11"/>
      <c r="AZ3" s="11"/>
      <c r="BA3" s="11"/>
      <c r="BB3" s="11"/>
      <c r="BC3" s="11"/>
      <c r="BD3" s="11"/>
      <c r="BE3" s="11"/>
      <c r="BF3" s="9"/>
      <c r="BG3" s="11"/>
      <c r="BH3" s="9"/>
      <c r="BI3" s="9"/>
      <c r="BJ3" s="9"/>
      <c r="BK3" s="9"/>
      <c r="BL3" s="9"/>
      <c r="BM3" s="9"/>
      <c r="BN3" s="9"/>
      <c r="BO3" s="9"/>
      <c r="BP3" s="9"/>
      <c r="BQ3" s="9"/>
      <c r="BR3" s="9"/>
      <c r="BS3" s="9"/>
      <c r="BT3" s="9"/>
      <c r="BU3" s="9"/>
      <c r="BV3" s="9"/>
      <c r="BW3" s="9"/>
      <c r="BX3" s="9"/>
      <c r="BY3" s="9"/>
    </row>
    <row r="4" spans="1:77" s="83" customFormat="1" ht="12">
      <c r="A4" s="14"/>
      <c r="B4" s="15"/>
      <c r="C4" s="15"/>
      <c r="D4" s="16"/>
      <c r="E4" s="16"/>
      <c r="F4" s="16"/>
      <c r="G4" s="14"/>
      <c r="H4" s="16"/>
      <c r="I4" s="14"/>
      <c r="J4" s="14"/>
      <c r="K4" s="14"/>
      <c r="L4" s="14"/>
      <c r="M4" s="14"/>
      <c r="N4" s="14"/>
      <c r="O4" s="14"/>
      <c r="P4" s="14"/>
      <c r="Q4" s="17"/>
      <c r="R4" s="17"/>
      <c r="S4" s="14"/>
      <c r="T4" s="14"/>
      <c r="U4" s="14"/>
      <c r="V4" s="14"/>
      <c r="W4" s="14"/>
      <c r="X4" s="14"/>
      <c r="Y4" s="14"/>
      <c r="Z4" s="14"/>
      <c r="AA4" s="14"/>
      <c r="AB4" s="14"/>
      <c r="AC4" s="14"/>
      <c r="AD4" s="14"/>
      <c r="AE4" s="14"/>
      <c r="AF4" s="14"/>
      <c r="AG4" s="14"/>
      <c r="AH4" s="14"/>
      <c r="AI4" s="14"/>
      <c r="AJ4" s="16"/>
      <c r="AK4" s="16"/>
      <c r="AL4" s="16"/>
      <c r="AM4" s="16"/>
      <c r="AN4" s="16"/>
      <c r="AO4" s="16"/>
      <c r="AP4" s="16"/>
      <c r="AQ4" s="16"/>
      <c r="AR4" s="16"/>
      <c r="AS4" s="16"/>
      <c r="AT4" s="16"/>
      <c r="AU4" s="16"/>
      <c r="AV4" s="16"/>
      <c r="AW4" s="14"/>
      <c r="AX4" s="14"/>
      <c r="AY4" s="16"/>
      <c r="AZ4" s="16"/>
      <c r="BA4" s="16"/>
      <c r="BB4" s="16"/>
      <c r="BC4" s="16"/>
      <c r="BD4" s="16"/>
      <c r="BE4" s="16"/>
      <c r="BF4" s="14"/>
      <c r="BG4" s="16"/>
      <c r="BH4" s="14"/>
      <c r="BI4" s="14"/>
      <c r="BJ4" s="14"/>
      <c r="BK4" s="14"/>
      <c r="BL4" s="14"/>
      <c r="BM4" s="14"/>
      <c r="BN4" s="14"/>
      <c r="BO4" s="14"/>
      <c r="BP4" s="14"/>
      <c r="BQ4" s="14"/>
      <c r="BR4" s="14"/>
      <c r="BS4" s="14"/>
      <c r="BT4" s="14"/>
      <c r="BU4" s="14"/>
      <c r="BV4" s="14"/>
      <c r="BW4" s="14"/>
      <c r="BX4" s="14"/>
      <c r="BY4" s="14"/>
    </row>
    <row r="5" spans="1:77" s="83" customFormat="1" ht="36.75" customHeight="1" outlineLevel="1">
      <c r="A5" s="14"/>
      <c r="B5" s="15"/>
      <c r="C5" s="15"/>
      <c r="D5" s="15"/>
      <c r="E5" s="15"/>
      <c r="F5" s="15"/>
      <c r="G5" s="7"/>
      <c r="H5" s="15"/>
      <c r="I5" s="7"/>
      <c r="J5" s="18" t="s">
        <v>3</v>
      </c>
      <c r="K5" s="18" t="s">
        <v>4</v>
      </c>
      <c r="L5" s="18" t="s">
        <v>5</v>
      </c>
      <c r="M5" s="18" t="s">
        <v>6</v>
      </c>
      <c r="N5" s="19" t="s">
        <v>7</v>
      </c>
      <c r="O5" s="7"/>
      <c r="P5" s="7"/>
      <c r="Q5" s="20"/>
      <c r="R5" s="20"/>
      <c r="S5" s="14"/>
      <c r="T5" s="21" t="s">
        <v>8</v>
      </c>
      <c r="U5" s="21" t="s">
        <v>9</v>
      </c>
      <c r="V5" s="21" t="s">
        <v>10</v>
      </c>
      <c r="W5" s="21" t="s">
        <v>11</v>
      </c>
      <c r="X5" s="21" t="s">
        <v>12</v>
      </c>
      <c r="Y5" s="21" t="s">
        <v>13</v>
      </c>
      <c r="Z5" s="22" t="s">
        <v>14</v>
      </c>
      <c r="AA5" s="22" t="s">
        <v>15</v>
      </c>
      <c r="AB5" s="22" t="s">
        <v>16</v>
      </c>
      <c r="AC5" s="22" t="s">
        <v>17</v>
      </c>
      <c r="AD5" s="22" t="s">
        <v>18</v>
      </c>
      <c r="AE5" s="22" t="s">
        <v>19</v>
      </c>
      <c r="AF5" s="22" t="s">
        <v>20</v>
      </c>
      <c r="AG5" s="22" t="s">
        <v>21</v>
      </c>
      <c r="AH5" s="22" t="s">
        <v>22</v>
      </c>
      <c r="AI5" s="23"/>
      <c r="AJ5" s="74" t="s">
        <v>23</v>
      </c>
      <c r="AK5" s="24"/>
      <c r="AL5" s="24"/>
      <c r="AM5" s="24"/>
      <c r="AN5" s="21" t="s">
        <v>24</v>
      </c>
      <c r="AO5" s="21" t="s">
        <v>25</v>
      </c>
      <c r="AP5" s="21" t="s">
        <v>26</v>
      </c>
      <c r="AQ5" s="21" t="s">
        <v>27</v>
      </c>
      <c r="AR5" s="21" t="s">
        <v>28</v>
      </c>
      <c r="AS5" s="21" t="s">
        <v>29</v>
      </c>
      <c r="AT5" s="21" t="s">
        <v>30</v>
      </c>
      <c r="AU5" s="21" t="s">
        <v>31</v>
      </c>
      <c r="AV5" s="15"/>
      <c r="AW5" s="7"/>
      <c r="AX5" s="7"/>
      <c r="AY5" s="22" t="s">
        <v>32</v>
      </c>
      <c r="AZ5" s="22" t="s">
        <v>33</v>
      </c>
      <c r="BA5" s="22" t="s">
        <v>34</v>
      </c>
      <c r="BB5" s="22" t="s">
        <v>35</v>
      </c>
      <c r="BC5" s="24"/>
      <c r="BD5" s="22" t="s">
        <v>36</v>
      </c>
      <c r="BE5" s="15"/>
      <c r="BF5" s="7"/>
      <c r="BG5" s="15"/>
      <c r="BH5" s="7"/>
      <c r="BI5" s="7"/>
      <c r="BJ5" s="7"/>
      <c r="BK5" s="7"/>
      <c r="BL5" s="7"/>
      <c r="BM5" s="7"/>
      <c r="BN5" s="7"/>
      <c r="BO5" s="7"/>
      <c r="BP5" s="25" t="s">
        <v>37</v>
      </c>
      <c r="BQ5" s="25" t="s">
        <v>38</v>
      </c>
      <c r="BR5" s="25" t="s">
        <v>39</v>
      </c>
      <c r="BS5" s="25" t="s">
        <v>40</v>
      </c>
      <c r="BT5" s="25" t="s">
        <v>41</v>
      </c>
      <c r="BU5" s="25" t="s">
        <v>42</v>
      </c>
      <c r="BV5" s="25" t="s">
        <v>43</v>
      </c>
      <c r="BW5" s="14"/>
      <c r="BX5" s="14"/>
      <c r="BY5" s="14"/>
    </row>
    <row r="6" spans="1:77" s="83" customFormat="1" ht="40.5" customHeight="1">
      <c r="A6" s="139" t="s">
        <v>1480</v>
      </c>
      <c r="B6" s="133" t="s">
        <v>44</v>
      </c>
      <c r="C6" s="109" t="s">
        <v>45</v>
      </c>
      <c r="D6" s="109" t="s">
        <v>46</v>
      </c>
      <c r="E6" s="106" t="s">
        <v>47</v>
      </c>
      <c r="F6" s="109" t="s">
        <v>48</v>
      </c>
      <c r="G6" s="106" t="s">
        <v>49</v>
      </c>
      <c r="H6" s="109" t="s">
        <v>50</v>
      </c>
      <c r="I6" s="106" t="s">
        <v>51</v>
      </c>
      <c r="J6" s="111" t="s">
        <v>52</v>
      </c>
      <c r="K6" s="112"/>
      <c r="L6" s="112"/>
      <c r="M6" s="112"/>
      <c r="N6" s="113"/>
      <c r="O6" s="117" t="s">
        <v>53</v>
      </c>
      <c r="P6" s="106" t="s">
        <v>54</v>
      </c>
      <c r="Q6" s="106" t="s">
        <v>55</v>
      </c>
      <c r="R6" s="106" t="s">
        <v>56</v>
      </c>
      <c r="S6" s="109" t="s">
        <v>57</v>
      </c>
      <c r="T6" s="119" t="s">
        <v>58</v>
      </c>
      <c r="U6" s="120"/>
      <c r="V6" s="120"/>
      <c r="W6" s="120"/>
      <c r="X6" s="120"/>
      <c r="Y6" s="121"/>
      <c r="Z6" s="129" t="s">
        <v>59</v>
      </c>
      <c r="AA6" s="130"/>
      <c r="AB6" s="136" t="s">
        <v>60</v>
      </c>
      <c r="AC6" s="137"/>
      <c r="AD6" s="137"/>
      <c r="AE6" s="137"/>
      <c r="AF6" s="137"/>
      <c r="AG6" s="137"/>
      <c r="AH6" s="137"/>
      <c r="AI6" s="134" t="s">
        <v>61</v>
      </c>
      <c r="AJ6" s="134" t="s">
        <v>62</v>
      </c>
      <c r="AK6" s="125" t="s">
        <v>63</v>
      </c>
      <c r="AL6" s="125" t="s">
        <v>64</v>
      </c>
      <c r="AM6" s="135" t="s">
        <v>65</v>
      </c>
      <c r="AN6" s="119" t="s">
        <v>66</v>
      </c>
      <c r="AO6" s="120"/>
      <c r="AP6" s="120"/>
      <c r="AQ6" s="120"/>
      <c r="AR6" s="120"/>
      <c r="AS6" s="120"/>
      <c r="AT6" s="120"/>
      <c r="AU6" s="121"/>
      <c r="AV6" s="117" t="s">
        <v>67</v>
      </c>
      <c r="AW6" s="134" t="s">
        <v>68</v>
      </c>
      <c r="AX6" s="134" t="s">
        <v>69</v>
      </c>
      <c r="AY6" s="135" t="s">
        <v>70</v>
      </c>
      <c r="AZ6" s="135"/>
      <c r="BA6" s="135"/>
      <c r="BB6" s="135"/>
      <c r="BC6" s="135"/>
      <c r="BD6" s="155"/>
      <c r="BE6" s="155"/>
      <c r="BF6" s="155"/>
      <c r="BG6" s="107" t="s">
        <v>71</v>
      </c>
      <c r="BH6" s="157" t="s">
        <v>72</v>
      </c>
      <c r="BI6" s="158"/>
      <c r="BJ6" s="158"/>
      <c r="BK6" s="158"/>
      <c r="BL6" s="158"/>
      <c r="BM6" s="158"/>
      <c r="BN6" s="158"/>
      <c r="BO6" s="159"/>
      <c r="BP6" s="140" t="s">
        <v>73</v>
      </c>
      <c r="BQ6" s="141"/>
      <c r="BR6" s="144" t="s">
        <v>74</v>
      </c>
      <c r="BS6" s="145"/>
      <c r="BT6" s="145"/>
      <c r="BU6" s="145"/>
      <c r="BV6" s="146"/>
      <c r="BW6" s="148" t="s">
        <v>75</v>
      </c>
      <c r="BX6" s="149"/>
      <c r="BY6" s="150"/>
    </row>
    <row r="7" spans="1:77" s="83" customFormat="1" ht="27.75" customHeight="1">
      <c r="A7" s="139"/>
      <c r="B7" s="130"/>
      <c r="C7" s="134"/>
      <c r="D7" s="134"/>
      <c r="E7" s="109"/>
      <c r="F7" s="110"/>
      <c r="G7" s="109"/>
      <c r="H7" s="110"/>
      <c r="I7" s="109"/>
      <c r="J7" s="114"/>
      <c r="K7" s="115"/>
      <c r="L7" s="115"/>
      <c r="M7" s="115"/>
      <c r="N7" s="116"/>
      <c r="O7" s="118"/>
      <c r="P7" s="107"/>
      <c r="Q7" s="107"/>
      <c r="R7" s="107"/>
      <c r="S7" s="125"/>
      <c r="T7" s="126"/>
      <c r="U7" s="127"/>
      <c r="V7" s="127"/>
      <c r="W7" s="127"/>
      <c r="X7" s="127"/>
      <c r="Y7" s="128"/>
      <c r="Z7" s="131"/>
      <c r="AA7" s="132"/>
      <c r="AB7" s="131"/>
      <c r="AC7" s="138"/>
      <c r="AD7" s="138"/>
      <c r="AE7" s="138"/>
      <c r="AF7" s="138"/>
      <c r="AG7" s="138"/>
      <c r="AH7" s="138"/>
      <c r="AI7" s="125"/>
      <c r="AJ7" s="134"/>
      <c r="AK7" s="125"/>
      <c r="AL7" s="125"/>
      <c r="AM7" s="107"/>
      <c r="AN7" s="122"/>
      <c r="AO7" s="123"/>
      <c r="AP7" s="123"/>
      <c r="AQ7" s="123"/>
      <c r="AR7" s="123"/>
      <c r="AS7" s="123"/>
      <c r="AT7" s="123"/>
      <c r="AU7" s="124"/>
      <c r="AV7" s="118"/>
      <c r="AW7" s="154"/>
      <c r="AX7" s="154"/>
      <c r="AY7" s="151" t="s">
        <v>76</v>
      </c>
      <c r="AZ7" s="152"/>
      <c r="BA7" s="152"/>
      <c r="BB7" s="153"/>
      <c r="BC7" s="26" t="s">
        <v>77</v>
      </c>
      <c r="BD7" s="26" t="s">
        <v>78</v>
      </c>
      <c r="BE7" s="26" t="s">
        <v>79</v>
      </c>
      <c r="BF7" s="26" t="s">
        <v>80</v>
      </c>
      <c r="BG7" s="156"/>
      <c r="BH7" s="27" t="s">
        <v>81</v>
      </c>
      <c r="BI7" s="27" t="s">
        <v>82</v>
      </c>
      <c r="BJ7" s="27" t="s">
        <v>83</v>
      </c>
      <c r="BK7" s="27" t="s">
        <v>84</v>
      </c>
      <c r="BL7" s="27" t="s">
        <v>85</v>
      </c>
      <c r="BM7" s="27" t="s">
        <v>86</v>
      </c>
      <c r="BN7" s="27" t="s">
        <v>87</v>
      </c>
      <c r="BO7" s="27" t="s">
        <v>88</v>
      </c>
      <c r="BP7" s="142"/>
      <c r="BQ7" s="143"/>
      <c r="BR7" s="142"/>
      <c r="BS7" s="147"/>
      <c r="BT7" s="147"/>
      <c r="BU7" s="147"/>
      <c r="BV7" s="143"/>
      <c r="BW7" s="28" t="s">
        <v>89</v>
      </c>
      <c r="BX7" s="29" t="s">
        <v>90</v>
      </c>
      <c r="BY7" s="75" t="s">
        <v>91</v>
      </c>
    </row>
    <row r="8" spans="1:77" s="84" customFormat="1" ht="21.95" customHeight="1">
      <c r="A8" s="80">
        <v>1</v>
      </c>
      <c r="B8" s="76" t="s">
        <v>92</v>
      </c>
      <c r="C8" s="30" t="s">
        <v>93</v>
      </c>
      <c r="D8" s="31" t="s">
        <v>94</v>
      </c>
      <c r="E8" s="31" t="s">
        <v>95</v>
      </c>
      <c r="F8" s="32" t="s">
        <v>96</v>
      </c>
      <c r="G8" s="32" t="s">
        <v>97</v>
      </c>
      <c r="H8" s="32" t="s">
        <v>98</v>
      </c>
      <c r="I8" s="33" t="s">
        <v>99</v>
      </c>
      <c r="J8" s="34" t="s">
        <v>100</v>
      </c>
      <c r="K8" s="34" t="s">
        <v>100</v>
      </c>
      <c r="L8" s="34" t="s">
        <v>100</v>
      </c>
      <c r="M8" s="34" t="s">
        <v>100</v>
      </c>
      <c r="N8" s="34" t="s">
        <v>100</v>
      </c>
      <c r="O8" s="35" t="s">
        <v>101</v>
      </c>
      <c r="P8" s="33" t="s">
        <v>102</v>
      </c>
      <c r="Q8" s="36" t="s">
        <v>103</v>
      </c>
      <c r="R8" s="33" t="s">
        <v>104</v>
      </c>
      <c r="S8" s="31" t="s">
        <v>105</v>
      </c>
      <c r="T8" s="37"/>
      <c r="U8" s="37"/>
      <c r="V8" s="37"/>
      <c r="W8" s="37"/>
      <c r="X8" s="37"/>
      <c r="Y8" s="37" t="s">
        <v>106</v>
      </c>
      <c r="Z8" s="32" t="s">
        <v>107</v>
      </c>
      <c r="AA8" s="32" t="s">
        <v>108</v>
      </c>
      <c r="AB8" s="37" t="s">
        <v>106</v>
      </c>
      <c r="AC8" s="37" t="s">
        <v>106</v>
      </c>
      <c r="AD8" s="37" t="s">
        <v>106</v>
      </c>
      <c r="AE8" s="37" t="s">
        <v>106</v>
      </c>
      <c r="AF8" s="37" t="s">
        <v>106</v>
      </c>
      <c r="AG8" s="37" t="s">
        <v>106</v>
      </c>
      <c r="AH8" s="32" t="s">
        <v>106</v>
      </c>
      <c r="AI8" s="31" t="s">
        <v>109</v>
      </c>
      <c r="AJ8" s="31" t="s">
        <v>110</v>
      </c>
      <c r="AK8" s="32" t="s">
        <v>111</v>
      </c>
      <c r="AL8" s="32" t="s">
        <v>112</v>
      </c>
      <c r="AM8" s="32" t="s">
        <v>111</v>
      </c>
      <c r="AN8" s="32" t="s">
        <v>113</v>
      </c>
      <c r="AO8" s="32" t="s">
        <v>114</v>
      </c>
      <c r="AP8" s="32" t="s">
        <v>115</v>
      </c>
      <c r="AQ8" s="32" t="s">
        <v>114</v>
      </c>
      <c r="AR8" s="32" t="s">
        <v>115</v>
      </c>
      <c r="AS8" s="32" t="s">
        <v>115</v>
      </c>
      <c r="AT8" s="32" t="s">
        <v>113</v>
      </c>
      <c r="AU8" s="32" t="s">
        <v>113</v>
      </c>
      <c r="AV8" s="38" t="s">
        <v>116</v>
      </c>
      <c r="AW8" s="36" t="s">
        <v>117</v>
      </c>
      <c r="AX8" s="36" t="s">
        <v>118</v>
      </c>
      <c r="AY8" s="32"/>
      <c r="AZ8" s="32"/>
      <c r="BA8" s="32" t="s">
        <v>119</v>
      </c>
      <c r="BB8" s="32"/>
      <c r="BC8" s="32" t="s">
        <v>120</v>
      </c>
      <c r="BD8" s="32" t="s">
        <v>121</v>
      </c>
      <c r="BE8" s="32">
        <v>1</v>
      </c>
      <c r="BF8" s="39" t="s">
        <v>122</v>
      </c>
      <c r="BG8" s="32" t="s">
        <v>123</v>
      </c>
      <c r="BH8" s="36" t="s">
        <v>124</v>
      </c>
      <c r="BI8" s="36" t="s">
        <v>125</v>
      </c>
      <c r="BJ8" s="36" t="s">
        <v>126</v>
      </c>
      <c r="BK8" s="36" t="s">
        <v>127</v>
      </c>
      <c r="BL8" s="36" t="s">
        <v>128</v>
      </c>
      <c r="BM8" s="36" t="s">
        <v>129</v>
      </c>
      <c r="BN8" s="36" t="s">
        <v>130</v>
      </c>
      <c r="BO8" s="36" t="s">
        <v>131</v>
      </c>
      <c r="BP8" s="37"/>
      <c r="BQ8" s="32" t="s">
        <v>106</v>
      </c>
      <c r="BR8" s="32"/>
      <c r="BS8" s="32" t="s">
        <v>106</v>
      </c>
      <c r="BT8" s="32"/>
      <c r="BU8" s="32"/>
      <c r="BV8" s="32"/>
      <c r="BW8" s="36"/>
      <c r="BX8" s="39"/>
      <c r="BY8" s="39"/>
    </row>
    <row r="9" spans="1:77" s="84" customFormat="1" ht="21.95" customHeight="1">
      <c r="A9" s="80">
        <v>1</v>
      </c>
      <c r="B9" s="76" t="s">
        <v>92</v>
      </c>
      <c r="C9" s="30" t="s">
        <v>132</v>
      </c>
      <c r="D9" s="31" t="s">
        <v>133</v>
      </c>
      <c r="E9" s="31" t="s">
        <v>95</v>
      </c>
      <c r="F9" s="32" t="s">
        <v>134</v>
      </c>
      <c r="G9" s="32" t="s">
        <v>135</v>
      </c>
      <c r="H9" s="32" t="s">
        <v>98</v>
      </c>
      <c r="I9" s="33" t="s">
        <v>136</v>
      </c>
      <c r="J9" s="34" t="s">
        <v>100</v>
      </c>
      <c r="K9" s="34" t="s">
        <v>100</v>
      </c>
      <c r="L9" s="34" t="s">
        <v>100</v>
      </c>
      <c r="M9" s="34" t="s">
        <v>100</v>
      </c>
      <c r="N9" s="34" t="s">
        <v>100</v>
      </c>
      <c r="O9" s="35" t="s">
        <v>101</v>
      </c>
      <c r="P9" s="33" t="s">
        <v>137</v>
      </c>
      <c r="Q9" s="36" t="s">
        <v>138</v>
      </c>
      <c r="R9" s="33" t="s">
        <v>139</v>
      </c>
      <c r="S9" s="31" t="s">
        <v>140</v>
      </c>
      <c r="T9" s="37"/>
      <c r="U9" s="37"/>
      <c r="V9" s="37"/>
      <c r="W9" s="37"/>
      <c r="X9" s="37"/>
      <c r="Y9" s="37" t="s">
        <v>106</v>
      </c>
      <c r="Z9" s="32" t="s">
        <v>141</v>
      </c>
      <c r="AA9" s="32" t="s">
        <v>108</v>
      </c>
      <c r="AB9" s="37" t="s">
        <v>106</v>
      </c>
      <c r="AC9" s="37" t="s">
        <v>106</v>
      </c>
      <c r="AD9" s="37" t="s">
        <v>106</v>
      </c>
      <c r="AE9" s="37" t="s">
        <v>106</v>
      </c>
      <c r="AF9" s="37" t="s">
        <v>106</v>
      </c>
      <c r="AG9" s="37" t="s">
        <v>106</v>
      </c>
      <c r="AH9" s="32" t="s">
        <v>106</v>
      </c>
      <c r="AI9" s="31" t="s">
        <v>109</v>
      </c>
      <c r="AJ9" s="31" t="s">
        <v>142</v>
      </c>
      <c r="AK9" s="32" t="s">
        <v>111</v>
      </c>
      <c r="AL9" s="32" t="s">
        <v>112</v>
      </c>
      <c r="AM9" s="32" t="s">
        <v>111</v>
      </c>
      <c r="AN9" s="32" t="s">
        <v>114</v>
      </c>
      <c r="AO9" s="32" t="s">
        <v>114</v>
      </c>
      <c r="AP9" s="32" t="s">
        <v>114</v>
      </c>
      <c r="AQ9" s="32" t="s">
        <v>114</v>
      </c>
      <c r="AR9" s="32" t="s">
        <v>114</v>
      </c>
      <c r="AS9" s="32" t="s">
        <v>114</v>
      </c>
      <c r="AT9" s="32" t="s">
        <v>114</v>
      </c>
      <c r="AU9" s="32" t="s">
        <v>114</v>
      </c>
      <c r="AV9" s="38" t="s">
        <v>116</v>
      </c>
      <c r="AW9" s="36" t="s">
        <v>143</v>
      </c>
      <c r="AX9" s="36" t="s">
        <v>144</v>
      </c>
      <c r="AY9" s="32"/>
      <c r="AZ9" s="32"/>
      <c r="BA9" s="32" t="s">
        <v>145</v>
      </c>
      <c r="BB9" s="32"/>
      <c r="BC9" s="32" t="s">
        <v>146</v>
      </c>
      <c r="BD9" s="32" t="s">
        <v>121</v>
      </c>
      <c r="BE9" s="32">
        <v>1</v>
      </c>
      <c r="BF9" s="39" t="s">
        <v>147</v>
      </c>
      <c r="BG9" s="32" t="s">
        <v>148</v>
      </c>
      <c r="BH9" s="36" t="s">
        <v>124</v>
      </c>
      <c r="BI9" s="36" t="s">
        <v>125</v>
      </c>
      <c r="BJ9" s="36" t="s">
        <v>126</v>
      </c>
      <c r="BK9" s="36" t="s">
        <v>127</v>
      </c>
      <c r="BL9" s="36" t="s">
        <v>128</v>
      </c>
      <c r="BM9" s="36" t="s">
        <v>129</v>
      </c>
      <c r="BN9" s="36" t="s">
        <v>149</v>
      </c>
      <c r="BO9" s="36" t="s">
        <v>150</v>
      </c>
      <c r="BP9" s="37"/>
      <c r="BQ9" s="32" t="s">
        <v>106</v>
      </c>
      <c r="BR9" s="32"/>
      <c r="BS9" s="32" t="s">
        <v>106</v>
      </c>
      <c r="BT9" s="32"/>
      <c r="BU9" s="32"/>
      <c r="BV9" s="32"/>
      <c r="BW9" s="36" t="s">
        <v>151</v>
      </c>
      <c r="BX9" s="39" t="s">
        <v>152</v>
      </c>
      <c r="BY9" s="39" t="s">
        <v>153</v>
      </c>
    </row>
    <row r="10" spans="1:77" s="84" customFormat="1" ht="21.95" customHeight="1">
      <c r="A10" s="80">
        <v>1</v>
      </c>
      <c r="B10" s="76" t="s">
        <v>92</v>
      </c>
      <c r="C10" s="30" t="s">
        <v>132</v>
      </c>
      <c r="D10" s="31" t="s">
        <v>133</v>
      </c>
      <c r="E10" s="31" t="s">
        <v>95</v>
      </c>
      <c r="F10" s="32" t="s">
        <v>154</v>
      </c>
      <c r="G10" s="32" t="s">
        <v>155</v>
      </c>
      <c r="H10" s="32" t="s">
        <v>98</v>
      </c>
      <c r="I10" s="33" t="s">
        <v>156</v>
      </c>
      <c r="J10" s="34" t="s">
        <v>100</v>
      </c>
      <c r="K10" s="34" t="s">
        <v>100</v>
      </c>
      <c r="L10" s="34" t="s">
        <v>100</v>
      </c>
      <c r="M10" s="34" t="s">
        <v>100</v>
      </c>
      <c r="N10" s="34" t="s">
        <v>100</v>
      </c>
      <c r="O10" s="35" t="s">
        <v>101</v>
      </c>
      <c r="P10" s="33" t="s">
        <v>157</v>
      </c>
      <c r="Q10" s="36" t="s">
        <v>158</v>
      </c>
      <c r="R10" s="33" t="s">
        <v>159</v>
      </c>
      <c r="S10" s="31" t="s">
        <v>105</v>
      </c>
      <c r="T10" s="37"/>
      <c r="U10" s="37"/>
      <c r="V10" s="37"/>
      <c r="W10" s="37"/>
      <c r="X10" s="37"/>
      <c r="Y10" s="37" t="s">
        <v>106</v>
      </c>
      <c r="Z10" s="32" t="s">
        <v>141</v>
      </c>
      <c r="AA10" s="32" t="s">
        <v>108</v>
      </c>
      <c r="AB10" s="37" t="s">
        <v>106</v>
      </c>
      <c r="AC10" s="37" t="s">
        <v>106</v>
      </c>
      <c r="AD10" s="37" t="s">
        <v>106</v>
      </c>
      <c r="AE10" s="37" t="s">
        <v>106</v>
      </c>
      <c r="AF10" s="37" t="s">
        <v>106</v>
      </c>
      <c r="AG10" s="37" t="s">
        <v>106</v>
      </c>
      <c r="AH10" s="32" t="s">
        <v>106</v>
      </c>
      <c r="AI10" s="31" t="s">
        <v>109</v>
      </c>
      <c r="AJ10" s="31" t="s">
        <v>142</v>
      </c>
      <c r="AK10" s="32" t="s">
        <v>111</v>
      </c>
      <c r="AL10" s="32" t="s">
        <v>112</v>
      </c>
      <c r="AM10" s="32" t="s">
        <v>111</v>
      </c>
      <c r="AN10" s="32" t="s">
        <v>114</v>
      </c>
      <c r="AO10" s="32" t="s">
        <v>114</v>
      </c>
      <c r="AP10" s="32" t="s">
        <v>114</v>
      </c>
      <c r="AQ10" s="32" t="s">
        <v>113</v>
      </c>
      <c r="AR10" s="32" t="s">
        <v>114</v>
      </c>
      <c r="AS10" s="32" t="s">
        <v>114</v>
      </c>
      <c r="AT10" s="32" t="s">
        <v>114</v>
      </c>
      <c r="AU10" s="32" t="s">
        <v>114</v>
      </c>
      <c r="AV10" s="38" t="s">
        <v>116</v>
      </c>
      <c r="AW10" s="36" t="s">
        <v>160</v>
      </c>
      <c r="AX10" s="36" t="s">
        <v>144</v>
      </c>
      <c r="AY10" s="32"/>
      <c r="AZ10" s="32"/>
      <c r="BA10" s="32" t="s">
        <v>145</v>
      </c>
      <c r="BB10" s="32"/>
      <c r="BC10" s="32" t="s">
        <v>161</v>
      </c>
      <c r="BD10" s="32" t="s">
        <v>162</v>
      </c>
      <c r="BE10" s="32">
        <v>1</v>
      </c>
      <c r="BF10" s="39" t="s">
        <v>163</v>
      </c>
      <c r="BG10" s="32" t="s">
        <v>148</v>
      </c>
      <c r="BH10" s="36" t="s">
        <v>124</v>
      </c>
      <c r="BI10" s="36" t="s">
        <v>125</v>
      </c>
      <c r="BJ10" s="36" t="s">
        <v>126</v>
      </c>
      <c r="BK10" s="36" t="s">
        <v>127</v>
      </c>
      <c r="BL10" s="36" t="s">
        <v>128</v>
      </c>
      <c r="BM10" s="36" t="s">
        <v>129</v>
      </c>
      <c r="BN10" s="36" t="s">
        <v>164</v>
      </c>
      <c r="BO10" s="36" t="s">
        <v>165</v>
      </c>
      <c r="BP10" s="37"/>
      <c r="BQ10" s="32" t="s">
        <v>106</v>
      </c>
      <c r="BR10" s="32"/>
      <c r="BS10" s="32" t="s">
        <v>106</v>
      </c>
      <c r="BT10" s="32"/>
      <c r="BU10" s="32"/>
      <c r="BV10" s="32"/>
      <c r="BW10" s="36" t="s">
        <v>166</v>
      </c>
      <c r="BX10" s="39" t="s">
        <v>152</v>
      </c>
      <c r="BY10" s="39" t="s">
        <v>167</v>
      </c>
    </row>
    <row r="11" spans="1:77" s="84" customFormat="1" ht="21.95" customHeight="1">
      <c r="A11" s="80">
        <v>1</v>
      </c>
      <c r="B11" s="76" t="s">
        <v>92</v>
      </c>
      <c r="C11" s="30" t="s">
        <v>132</v>
      </c>
      <c r="D11" s="31" t="s">
        <v>133</v>
      </c>
      <c r="E11" s="31" t="s">
        <v>95</v>
      </c>
      <c r="F11" s="32" t="s">
        <v>168</v>
      </c>
      <c r="G11" s="32" t="s">
        <v>169</v>
      </c>
      <c r="H11" s="32" t="s">
        <v>98</v>
      </c>
      <c r="I11" s="33" t="s">
        <v>170</v>
      </c>
      <c r="J11" s="34" t="s">
        <v>100</v>
      </c>
      <c r="K11" s="34" t="s">
        <v>100</v>
      </c>
      <c r="L11" s="34" t="s">
        <v>100</v>
      </c>
      <c r="M11" s="34" t="s">
        <v>100</v>
      </c>
      <c r="N11" s="34" t="s">
        <v>100</v>
      </c>
      <c r="O11" s="35" t="s">
        <v>101</v>
      </c>
      <c r="P11" s="33" t="s">
        <v>171</v>
      </c>
      <c r="Q11" s="36" t="s">
        <v>172</v>
      </c>
      <c r="R11" s="33" t="s">
        <v>173</v>
      </c>
      <c r="S11" s="31" t="s">
        <v>105</v>
      </c>
      <c r="T11" s="37"/>
      <c r="U11" s="37"/>
      <c r="V11" s="37"/>
      <c r="W11" s="37"/>
      <c r="X11" s="37"/>
      <c r="Y11" s="37" t="s">
        <v>106</v>
      </c>
      <c r="Z11" s="32" t="s">
        <v>141</v>
      </c>
      <c r="AA11" s="32" t="s">
        <v>108</v>
      </c>
      <c r="AB11" s="37" t="s">
        <v>106</v>
      </c>
      <c r="AC11" s="37" t="s">
        <v>106</v>
      </c>
      <c r="AD11" s="37" t="s">
        <v>106</v>
      </c>
      <c r="AE11" s="37" t="s">
        <v>106</v>
      </c>
      <c r="AF11" s="37" t="s">
        <v>106</v>
      </c>
      <c r="AG11" s="37" t="s">
        <v>106</v>
      </c>
      <c r="AH11" s="32" t="s">
        <v>106</v>
      </c>
      <c r="AI11" s="31" t="s">
        <v>109</v>
      </c>
      <c r="AJ11" s="31" t="s">
        <v>142</v>
      </c>
      <c r="AK11" s="32" t="s">
        <v>111</v>
      </c>
      <c r="AL11" s="32" t="s">
        <v>174</v>
      </c>
      <c r="AM11" s="32" t="s">
        <v>111</v>
      </c>
      <c r="AN11" s="32" t="s">
        <v>114</v>
      </c>
      <c r="AO11" s="32" t="s">
        <v>114</v>
      </c>
      <c r="AP11" s="32" t="s">
        <v>114</v>
      </c>
      <c r="AQ11" s="32" t="s">
        <v>113</v>
      </c>
      <c r="AR11" s="32" t="s">
        <v>114</v>
      </c>
      <c r="AS11" s="32" t="s">
        <v>114</v>
      </c>
      <c r="AT11" s="32" t="s">
        <v>114</v>
      </c>
      <c r="AU11" s="32" t="s">
        <v>114</v>
      </c>
      <c r="AV11" s="38" t="s">
        <v>116</v>
      </c>
      <c r="AW11" s="36" t="s">
        <v>1532</v>
      </c>
      <c r="AX11" s="36" t="s">
        <v>144</v>
      </c>
      <c r="AY11" s="32"/>
      <c r="AZ11" s="32"/>
      <c r="BA11" s="32" t="s">
        <v>145</v>
      </c>
      <c r="BB11" s="32"/>
      <c r="BC11" s="32" t="s">
        <v>175</v>
      </c>
      <c r="BD11" s="32" t="s">
        <v>176</v>
      </c>
      <c r="BE11" s="32">
        <v>1</v>
      </c>
      <c r="BF11" s="39" t="s">
        <v>177</v>
      </c>
      <c r="BG11" s="32" t="s">
        <v>148</v>
      </c>
      <c r="BH11" s="36" t="s">
        <v>124</v>
      </c>
      <c r="BI11" s="36" t="s">
        <v>125</v>
      </c>
      <c r="BJ11" s="36" t="s">
        <v>126</v>
      </c>
      <c r="BK11" s="36" t="s">
        <v>127</v>
      </c>
      <c r="BL11" s="36" t="s">
        <v>128</v>
      </c>
      <c r="BM11" s="36" t="s">
        <v>129</v>
      </c>
      <c r="BN11" s="36" t="s">
        <v>178</v>
      </c>
      <c r="BO11" s="36" t="s">
        <v>179</v>
      </c>
      <c r="BP11" s="37"/>
      <c r="BQ11" s="32" t="s">
        <v>106</v>
      </c>
      <c r="BR11" s="32"/>
      <c r="BS11" s="32" t="s">
        <v>106</v>
      </c>
      <c r="BT11" s="32"/>
      <c r="BU11" s="32"/>
      <c r="BV11" s="32"/>
      <c r="BW11" s="36" t="s">
        <v>166</v>
      </c>
      <c r="BX11" s="39" t="s">
        <v>152</v>
      </c>
      <c r="BY11" s="39" t="s">
        <v>153</v>
      </c>
    </row>
    <row r="12" spans="1:77" s="84" customFormat="1" ht="21.95" customHeight="1">
      <c r="A12" s="80">
        <v>1</v>
      </c>
      <c r="B12" s="76" t="s">
        <v>92</v>
      </c>
      <c r="C12" s="30" t="s">
        <v>132</v>
      </c>
      <c r="D12" s="31" t="s">
        <v>133</v>
      </c>
      <c r="E12" s="31" t="s">
        <v>95</v>
      </c>
      <c r="F12" s="32" t="s">
        <v>180</v>
      </c>
      <c r="G12" s="32" t="s">
        <v>181</v>
      </c>
      <c r="H12" s="32" t="s">
        <v>182</v>
      </c>
      <c r="I12" s="33" t="s">
        <v>183</v>
      </c>
      <c r="J12" s="34" t="s">
        <v>100</v>
      </c>
      <c r="K12" s="34" t="s">
        <v>100</v>
      </c>
      <c r="L12" s="34" t="s">
        <v>100</v>
      </c>
      <c r="M12" s="34" t="s">
        <v>100</v>
      </c>
      <c r="N12" s="34" t="s">
        <v>100</v>
      </c>
      <c r="O12" s="35" t="s">
        <v>101</v>
      </c>
      <c r="P12" s="33" t="s">
        <v>184</v>
      </c>
      <c r="Q12" s="36" t="s">
        <v>185</v>
      </c>
      <c r="R12" s="33" t="s">
        <v>186</v>
      </c>
      <c r="S12" s="31" t="s">
        <v>140</v>
      </c>
      <c r="T12" s="37"/>
      <c r="U12" s="37"/>
      <c r="V12" s="37"/>
      <c r="W12" s="37"/>
      <c r="X12" s="37"/>
      <c r="Y12" s="37" t="s">
        <v>106</v>
      </c>
      <c r="Z12" s="32" t="s">
        <v>141</v>
      </c>
      <c r="AA12" s="32" t="s">
        <v>108</v>
      </c>
      <c r="AB12" s="37" t="s">
        <v>106</v>
      </c>
      <c r="AC12" s="37" t="s">
        <v>106</v>
      </c>
      <c r="AD12" s="37" t="s">
        <v>106</v>
      </c>
      <c r="AE12" s="37" t="s">
        <v>106</v>
      </c>
      <c r="AF12" s="37" t="s">
        <v>106</v>
      </c>
      <c r="AG12" s="37" t="s">
        <v>106</v>
      </c>
      <c r="AH12" s="32" t="s">
        <v>106</v>
      </c>
      <c r="AI12" s="31" t="s">
        <v>109</v>
      </c>
      <c r="AJ12" s="31" t="s">
        <v>110</v>
      </c>
      <c r="AK12" s="32" t="s">
        <v>111</v>
      </c>
      <c r="AL12" s="32" t="s">
        <v>174</v>
      </c>
      <c r="AM12" s="32" t="s">
        <v>111</v>
      </c>
      <c r="AN12" s="32" t="s">
        <v>114</v>
      </c>
      <c r="AO12" s="32" t="s">
        <v>114</v>
      </c>
      <c r="AP12" s="32" t="s">
        <v>114</v>
      </c>
      <c r="AQ12" s="32" t="s">
        <v>114</v>
      </c>
      <c r="AR12" s="32" t="s">
        <v>113</v>
      </c>
      <c r="AS12" s="32" t="s">
        <v>114</v>
      </c>
      <c r="AT12" s="32" t="s">
        <v>113</v>
      </c>
      <c r="AU12" s="32" t="s">
        <v>113</v>
      </c>
      <c r="AV12" s="38" t="s">
        <v>116</v>
      </c>
      <c r="AW12" s="36" t="s">
        <v>187</v>
      </c>
      <c r="AX12" s="36" t="s">
        <v>174</v>
      </c>
      <c r="AY12" s="32"/>
      <c r="AZ12" s="32"/>
      <c r="BA12" s="32" t="s">
        <v>145</v>
      </c>
      <c r="BB12" s="32"/>
      <c r="BC12" s="32" t="s">
        <v>188</v>
      </c>
      <c r="BD12" s="32" t="s">
        <v>162</v>
      </c>
      <c r="BE12" s="32">
        <v>1</v>
      </c>
      <c r="BF12" s="39" t="s">
        <v>189</v>
      </c>
      <c r="BG12" s="32" t="s">
        <v>148</v>
      </c>
      <c r="BH12" s="36" t="s">
        <v>124</v>
      </c>
      <c r="BI12" s="36" t="s">
        <v>125</v>
      </c>
      <c r="BJ12" s="36" t="s">
        <v>126</v>
      </c>
      <c r="BK12" s="36" t="s">
        <v>127</v>
      </c>
      <c r="BL12" s="36" t="s">
        <v>128</v>
      </c>
      <c r="BM12" s="36" t="s">
        <v>129</v>
      </c>
      <c r="BN12" s="36" t="s">
        <v>190</v>
      </c>
      <c r="BO12" s="36" t="s">
        <v>191</v>
      </c>
      <c r="BP12" s="37"/>
      <c r="BQ12" s="32" t="s">
        <v>106</v>
      </c>
      <c r="BR12" s="32"/>
      <c r="BS12" s="32" t="s">
        <v>106</v>
      </c>
      <c r="BT12" s="32"/>
      <c r="BU12" s="32"/>
      <c r="BV12" s="32"/>
      <c r="BW12" s="36" t="s">
        <v>192</v>
      </c>
      <c r="BX12" s="39" t="s">
        <v>193</v>
      </c>
      <c r="BY12" s="39" t="s">
        <v>194</v>
      </c>
    </row>
    <row r="13" spans="1:77" s="84" customFormat="1" ht="21.95" customHeight="1">
      <c r="A13" s="80">
        <v>1</v>
      </c>
      <c r="B13" s="76" t="s">
        <v>92</v>
      </c>
      <c r="C13" s="30" t="s">
        <v>132</v>
      </c>
      <c r="D13" s="31" t="s">
        <v>133</v>
      </c>
      <c r="E13" s="31" t="s">
        <v>95</v>
      </c>
      <c r="F13" s="32" t="s">
        <v>195</v>
      </c>
      <c r="G13" s="32" t="s">
        <v>196</v>
      </c>
      <c r="H13" s="32" t="s">
        <v>182</v>
      </c>
      <c r="I13" s="33" t="s">
        <v>197</v>
      </c>
      <c r="J13" s="34" t="s">
        <v>100</v>
      </c>
      <c r="K13" s="34" t="s">
        <v>100</v>
      </c>
      <c r="L13" s="34" t="s">
        <v>100</v>
      </c>
      <c r="M13" s="34" t="s">
        <v>100</v>
      </c>
      <c r="N13" s="34" t="s">
        <v>100</v>
      </c>
      <c r="O13" s="35" t="s">
        <v>101</v>
      </c>
      <c r="P13" s="33" t="s">
        <v>198</v>
      </c>
      <c r="Q13" s="36" t="s">
        <v>199</v>
      </c>
      <c r="R13" s="33" t="s">
        <v>200</v>
      </c>
      <c r="S13" s="31" t="s">
        <v>140</v>
      </c>
      <c r="T13" s="37"/>
      <c r="U13" s="37"/>
      <c r="V13" s="37"/>
      <c r="W13" s="37"/>
      <c r="X13" s="37"/>
      <c r="Y13" s="37" t="s">
        <v>106</v>
      </c>
      <c r="Z13" s="32" t="s">
        <v>141</v>
      </c>
      <c r="AA13" s="32" t="s">
        <v>108</v>
      </c>
      <c r="AB13" s="37" t="s">
        <v>106</v>
      </c>
      <c r="AC13" s="37" t="s">
        <v>106</v>
      </c>
      <c r="AD13" s="37" t="s">
        <v>106</v>
      </c>
      <c r="AE13" s="37" t="s">
        <v>106</v>
      </c>
      <c r="AF13" s="37" t="s">
        <v>106</v>
      </c>
      <c r="AG13" s="37" t="s">
        <v>106</v>
      </c>
      <c r="AH13" s="32" t="s">
        <v>106</v>
      </c>
      <c r="AI13" s="31" t="s">
        <v>109</v>
      </c>
      <c r="AJ13" s="31" t="s">
        <v>142</v>
      </c>
      <c r="AK13" s="32" t="s">
        <v>111</v>
      </c>
      <c r="AL13" s="32" t="s">
        <v>112</v>
      </c>
      <c r="AM13" s="32" t="s">
        <v>111</v>
      </c>
      <c r="AN13" s="32" t="s">
        <v>114</v>
      </c>
      <c r="AO13" s="32" t="s">
        <v>114</v>
      </c>
      <c r="AP13" s="32" t="s">
        <v>114</v>
      </c>
      <c r="AQ13" s="32" t="s">
        <v>114</v>
      </c>
      <c r="AR13" s="32" t="s">
        <v>114</v>
      </c>
      <c r="AS13" s="32" t="s">
        <v>114</v>
      </c>
      <c r="AT13" s="32" t="s">
        <v>114</v>
      </c>
      <c r="AU13" s="32" t="s">
        <v>114</v>
      </c>
      <c r="AV13" s="38" t="s">
        <v>116</v>
      </c>
      <c r="AW13" s="36" t="s">
        <v>201</v>
      </c>
      <c r="AX13" s="36" t="s">
        <v>112</v>
      </c>
      <c r="AY13" s="32"/>
      <c r="AZ13" s="32"/>
      <c r="BA13" s="32" t="s">
        <v>145</v>
      </c>
      <c r="BB13" s="32"/>
      <c r="BC13" s="32" t="s">
        <v>202</v>
      </c>
      <c r="BD13" s="32" t="s">
        <v>162</v>
      </c>
      <c r="BE13" s="32">
        <v>1</v>
      </c>
      <c r="BF13" s="39" t="s">
        <v>203</v>
      </c>
      <c r="BG13" s="32" t="s">
        <v>148</v>
      </c>
      <c r="BH13" s="36" t="s">
        <v>124</v>
      </c>
      <c r="BI13" s="36" t="s">
        <v>125</v>
      </c>
      <c r="BJ13" s="36" t="s">
        <v>126</v>
      </c>
      <c r="BK13" s="36" t="s">
        <v>127</v>
      </c>
      <c r="BL13" s="36" t="s">
        <v>128</v>
      </c>
      <c r="BM13" s="36" t="s">
        <v>129</v>
      </c>
      <c r="BN13" s="36" t="s">
        <v>204</v>
      </c>
      <c r="BO13" s="36" t="s">
        <v>205</v>
      </c>
      <c r="BP13" s="37"/>
      <c r="BQ13" s="32" t="s">
        <v>106</v>
      </c>
      <c r="BR13" s="32"/>
      <c r="BS13" s="32" t="s">
        <v>106</v>
      </c>
      <c r="BT13" s="32"/>
      <c r="BU13" s="32"/>
      <c r="BV13" s="32"/>
      <c r="BW13" s="36" t="s">
        <v>192</v>
      </c>
      <c r="BX13" s="39" t="s">
        <v>193</v>
      </c>
      <c r="BY13" s="39" t="s">
        <v>194</v>
      </c>
    </row>
    <row r="14" spans="1:77" s="84" customFormat="1" ht="21.95" customHeight="1">
      <c r="A14" s="80">
        <v>1</v>
      </c>
      <c r="B14" s="76" t="s">
        <v>92</v>
      </c>
      <c r="C14" s="30" t="s">
        <v>132</v>
      </c>
      <c r="D14" s="31" t="s">
        <v>133</v>
      </c>
      <c r="E14" s="31" t="s">
        <v>95</v>
      </c>
      <c r="F14" s="32" t="s">
        <v>206</v>
      </c>
      <c r="G14" s="32" t="s">
        <v>207</v>
      </c>
      <c r="H14" s="32" t="s">
        <v>182</v>
      </c>
      <c r="I14" s="33" t="s">
        <v>208</v>
      </c>
      <c r="J14" s="34" t="s">
        <v>100</v>
      </c>
      <c r="K14" s="34" t="s">
        <v>100</v>
      </c>
      <c r="L14" s="34" t="s">
        <v>100</v>
      </c>
      <c r="M14" s="34" t="s">
        <v>100</v>
      </c>
      <c r="N14" s="34" t="s">
        <v>100</v>
      </c>
      <c r="O14" s="35" t="s">
        <v>101</v>
      </c>
      <c r="P14" s="33" t="s">
        <v>209</v>
      </c>
      <c r="Q14" s="36" t="s">
        <v>210</v>
      </c>
      <c r="R14" s="33" t="s">
        <v>211</v>
      </c>
      <c r="S14" s="31" t="s">
        <v>140</v>
      </c>
      <c r="T14" s="37"/>
      <c r="U14" s="37"/>
      <c r="V14" s="37"/>
      <c r="W14" s="37"/>
      <c r="X14" s="37"/>
      <c r="Y14" s="37" t="s">
        <v>106</v>
      </c>
      <c r="Z14" s="32" t="s">
        <v>141</v>
      </c>
      <c r="AA14" s="32" t="s">
        <v>108</v>
      </c>
      <c r="AB14" s="37" t="s">
        <v>106</v>
      </c>
      <c r="AC14" s="37" t="s">
        <v>106</v>
      </c>
      <c r="AD14" s="37" t="s">
        <v>106</v>
      </c>
      <c r="AE14" s="37" t="s">
        <v>106</v>
      </c>
      <c r="AF14" s="37" t="s">
        <v>106</v>
      </c>
      <c r="AG14" s="37" t="s">
        <v>106</v>
      </c>
      <c r="AH14" s="32" t="s">
        <v>106</v>
      </c>
      <c r="AI14" s="31" t="s">
        <v>109</v>
      </c>
      <c r="AJ14" s="31" t="s">
        <v>142</v>
      </c>
      <c r="AK14" s="32" t="s">
        <v>111</v>
      </c>
      <c r="AL14" s="32" t="s">
        <v>174</v>
      </c>
      <c r="AM14" s="32" t="s">
        <v>111</v>
      </c>
      <c r="AN14" s="32" t="s">
        <v>114</v>
      </c>
      <c r="AO14" s="32" t="s">
        <v>114</v>
      </c>
      <c r="AP14" s="32" t="s">
        <v>114</v>
      </c>
      <c r="AQ14" s="32" t="s">
        <v>114</v>
      </c>
      <c r="AR14" s="32" t="s">
        <v>114</v>
      </c>
      <c r="AS14" s="32" t="s">
        <v>114</v>
      </c>
      <c r="AT14" s="32" t="s">
        <v>114</v>
      </c>
      <c r="AU14" s="32" t="s">
        <v>114</v>
      </c>
      <c r="AV14" s="38" t="s">
        <v>116</v>
      </c>
      <c r="AW14" s="36" t="s">
        <v>212</v>
      </c>
      <c r="AX14" s="36" t="s">
        <v>112</v>
      </c>
      <c r="AY14" s="32"/>
      <c r="AZ14" s="32"/>
      <c r="BA14" s="32" t="s">
        <v>119</v>
      </c>
      <c r="BB14" s="32"/>
      <c r="BC14" s="32" t="s">
        <v>213</v>
      </c>
      <c r="BD14" s="32" t="s">
        <v>162</v>
      </c>
      <c r="BE14" s="32">
        <v>1</v>
      </c>
      <c r="BF14" s="39" t="s">
        <v>214</v>
      </c>
      <c r="BG14" s="32" t="s">
        <v>148</v>
      </c>
      <c r="BH14" s="36" t="s">
        <v>124</v>
      </c>
      <c r="BI14" s="36" t="s">
        <v>125</v>
      </c>
      <c r="BJ14" s="36" t="s">
        <v>126</v>
      </c>
      <c r="BK14" s="36" t="s">
        <v>127</v>
      </c>
      <c r="BL14" s="36" t="s">
        <v>128</v>
      </c>
      <c r="BM14" s="36" t="s">
        <v>129</v>
      </c>
      <c r="BN14" s="36" t="s">
        <v>215</v>
      </c>
      <c r="BO14" s="36" t="s">
        <v>216</v>
      </c>
      <c r="BP14" s="37"/>
      <c r="BQ14" s="32" t="s">
        <v>106</v>
      </c>
      <c r="BR14" s="32"/>
      <c r="BS14" s="32" t="s">
        <v>106</v>
      </c>
      <c r="BT14" s="32"/>
      <c r="BU14" s="32"/>
      <c r="BV14" s="32"/>
      <c r="BW14" s="36" t="s">
        <v>192</v>
      </c>
      <c r="BX14" s="39" t="s">
        <v>193</v>
      </c>
      <c r="BY14" s="39" t="s">
        <v>217</v>
      </c>
    </row>
    <row r="15" spans="1:77" s="84" customFormat="1" ht="21.95" customHeight="1">
      <c r="A15" s="80">
        <v>1</v>
      </c>
      <c r="B15" s="76" t="s">
        <v>92</v>
      </c>
      <c r="C15" s="30" t="s">
        <v>132</v>
      </c>
      <c r="D15" s="31" t="s">
        <v>133</v>
      </c>
      <c r="E15" s="31" t="s">
        <v>95</v>
      </c>
      <c r="F15" s="32" t="s">
        <v>218</v>
      </c>
      <c r="G15" s="32" t="s">
        <v>219</v>
      </c>
      <c r="H15" s="32" t="s">
        <v>182</v>
      </c>
      <c r="I15" s="33" t="s">
        <v>220</v>
      </c>
      <c r="J15" s="34" t="s">
        <v>100</v>
      </c>
      <c r="K15" s="34" t="s">
        <v>100</v>
      </c>
      <c r="L15" s="34" t="s">
        <v>100</v>
      </c>
      <c r="M15" s="34" t="s">
        <v>100</v>
      </c>
      <c r="N15" s="34" t="s">
        <v>100</v>
      </c>
      <c r="O15" s="35" t="s">
        <v>101</v>
      </c>
      <c r="P15" s="33" t="s">
        <v>221</v>
      </c>
      <c r="Q15" s="36" t="s">
        <v>222</v>
      </c>
      <c r="R15" s="33" t="s">
        <v>223</v>
      </c>
      <c r="S15" s="31" t="s">
        <v>140</v>
      </c>
      <c r="T15" s="37"/>
      <c r="U15" s="37"/>
      <c r="V15" s="37"/>
      <c r="W15" s="37"/>
      <c r="X15" s="37"/>
      <c r="Y15" s="37" t="s">
        <v>106</v>
      </c>
      <c r="Z15" s="32" t="s">
        <v>141</v>
      </c>
      <c r="AA15" s="32" t="s">
        <v>108</v>
      </c>
      <c r="AB15" s="37" t="s">
        <v>106</v>
      </c>
      <c r="AC15" s="37" t="s">
        <v>106</v>
      </c>
      <c r="AD15" s="37" t="s">
        <v>106</v>
      </c>
      <c r="AE15" s="37" t="s">
        <v>106</v>
      </c>
      <c r="AF15" s="37" t="s">
        <v>106</v>
      </c>
      <c r="AG15" s="37" t="s">
        <v>106</v>
      </c>
      <c r="AH15" s="32" t="s">
        <v>106</v>
      </c>
      <c r="AI15" s="31" t="s">
        <v>109</v>
      </c>
      <c r="AJ15" s="31" t="s">
        <v>142</v>
      </c>
      <c r="AK15" s="32" t="s">
        <v>111</v>
      </c>
      <c r="AL15" s="32" t="s">
        <v>112</v>
      </c>
      <c r="AM15" s="32" t="s">
        <v>111</v>
      </c>
      <c r="AN15" s="32" t="s">
        <v>114</v>
      </c>
      <c r="AO15" s="32" t="s">
        <v>114</v>
      </c>
      <c r="AP15" s="32" t="s">
        <v>114</v>
      </c>
      <c r="AQ15" s="32" t="s">
        <v>114</v>
      </c>
      <c r="AR15" s="32" t="s">
        <v>114</v>
      </c>
      <c r="AS15" s="32" t="s">
        <v>114</v>
      </c>
      <c r="AT15" s="32" t="s">
        <v>114</v>
      </c>
      <c r="AU15" s="32" t="s">
        <v>114</v>
      </c>
      <c r="AV15" s="38" t="s">
        <v>116</v>
      </c>
      <c r="AW15" s="36" t="s">
        <v>224</v>
      </c>
      <c r="AX15" s="36" t="s">
        <v>112</v>
      </c>
      <c r="AY15" s="32"/>
      <c r="AZ15" s="32"/>
      <c r="BA15" s="32" t="s">
        <v>145</v>
      </c>
      <c r="BB15" s="32"/>
      <c r="BC15" s="32" t="s">
        <v>225</v>
      </c>
      <c r="BD15" s="32" t="s">
        <v>162</v>
      </c>
      <c r="BE15" s="32">
        <v>1</v>
      </c>
      <c r="BF15" s="39" t="s">
        <v>226</v>
      </c>
      <c r="BG15" s="32" t="s">
        <v>148</v>
      </c>
      <c r="BH15" s="36" t="s">
        <v>124</v>
      </c>
      <c r="BI15" s="36" t="s">
        <v>125</v>
      </c>
      <c r="BJ15" s="36" t="s">
        <v>126</v>
      </c>
      <c r="BK15" s="36" t="s">
        <v>127</v>
      </c>
      <c r="BL15" s="36" t="s">
        <v>128</v>
      </c>
      <c r="BM15" s="36" t="s">
        <v>129</v>
      </c>
      <c r="BN15" s="36" t="s">
        <v>227</v>
      </c>
      <c r="BO15" s="36" t="s">
        <v>228</v>
      </c>
      <c r="BP15" s="37"/>
      <c r="BQ15" s="32" t="s">
        <v>106</v>
      </c>
      <c r="BR15" s="32"/>
      <c r="BS15" s="32" t="s">
        <v>106</v>
      </c>
      <c r="BT15" s="32"/>
      <c r="BU15" s="32"/>
      <c r="BV15" s="32"/>
      <c r="BW15" s="36" t="s">
        <v>192</v>
      </c>
      <c r="BX15" s="39" t="s">
        <v>193</v>
      </c>
      <c r="BY15" s="39" t="s">
        <v>194</v>
      </c>
    </row>
    <row r="16" spans="1:77" s="84" customFormat="1" ht="21.95" customHeight="1">
      <c r="A16" s="80">
        <v>1</v>
      </c>
      <c r="B16" s="76" t="s">
        <v>92</v>
      </c>
      <c r="C16" s="30" t="s">
        <v>132</v>
      </c>
      <c r="D16" s="31" t="s">
        <v>133</v>
      </c>
      <c r="E16" s="31" t="s">
        <v>95</v>
      </c>
      <c r="F16" s="32" t="s">
        <v>229</v>
      </c>
      <c r="G16" s="32" t="s">
        <v>230</v>
      </c>
      <c r="H16" s="32" t="s">
        <v>1477</v>
      </c>
      <c r="I16" s="33" t="s">
        <v>231</v>
      </c>
      <c r="J16" s="34" t="s">
        <v>100</v>
      </c>
      <c r="K16" s="34" t="s">
        <v>100</v>
      </c>
      <c r="L16" s="34" t="s">
        <v>100</v>
      </c>
      <c r="M16" s="34" t="s">
        <v>100</v>
      </c>
      <c r="N16" s="34" t="s">
        <v>100</v>
      </c>
      <c r="O16" s="35" t="s">
        <v>101</v>
      </c>
      <c r="P16" s="33" t="s">
        <v>232</v>
      </c>
      <c r="Q16" s="36" t="s">
        <v>233</v>
      </c>
      <c r="R16" s="33" t="s">
        <v>234</v>
      </c>
      <c r="S16" s="31" t="s">
        <v>140</v>
      </c>
      <c r="T16" s="37"/>
      <c r="U16" s="37"/>
      <c r="V16" s="37"/>
      <c r="W16" s="37"/>
      <c r="X16" s="37"/>
      <c r="Y16" s="37" t="s">
        <v>106</v>
      </c>
      <c r="Z16" s="32" t="s">
        <v>141</v>
      </c>
      <c r="AA16" s="32" t="s">
        <v>108</v>
      </c>
      <c r="AB16" s="37" t="s">
        <v>106</v>
      </c>
      <c r="AC16" s="37" t="s">
        <v>106</v>
      </c>
      <c r="AD16" s="37" t="s">
        <v>106</v>
      </c>
      <c r="AE16" s="37" t="s">
        <v>106</v>
      </c>
      <c r="AF16" s="37" t="s">
        <v>106</v>
      </c>
      <c r="AG16" s="37" t="s">
        <v>106</v>
      </c>
      <c r="AH16" s="32" t="s">
        <v>106</v>
      </c>
      <c r="AI16" s="31" t="s">
        <v>109</v>
      </c>
      <c r="AJ16" s="31" t="s">
        <v>142</v>
      </c>
      <c r="AK16" s="32" t="s">
        <v>111</v>
      </c>
      <c r="AL16" s="32" t="s">
        <v>112</v>
      </c>
      <c r="AM16" s="32" t="s">
        <v>111</v>
      </c>
      <c r="AN16" s="32" t="s">
        <v>114</v>
      </c>
      <c r="AO16" s="32" t="s">
        <v>114</v>
      </c>
      <c r="AP16" s="32" t="s">
        <v>114</v>
      </c>
      <c r="AQ16" s="32" t="s">
        <v>114</v>
      </c>
      <c r="AR16" s="32" t="s">
        <v>114</v>
      </c>
      <c r="AS16" s="32" t="s">
        <v>114</v>
      </c>
      <c r="AT16" s="32" t="s">
        <v>114</v>
      </c>
      <c r="AU16" s="32" t="s">
        <v>114</v>
      </c>
      <c r="AV16" s="38" t="s">
        <v>116</v>
      </c>
      <c r="AW16" s="36" t="s">
        <v>235</v>
      </c>
      <c r="AX16" s="36" t="s">
        <v>236</v>
      </c>
      <c r="AY16" s="32"/>
      <c r="AZ16" s="32"/>
      <c r="BA16" s="32" t="s">
        <v>145</v>
      </c>
      <c r="BB16" s="32"/>
      <c r="BC16" s="32" t="s">
        <v>237</v>
      </c>
      <c r="BD16" s="32" t="s">
        <v>162</v>
      </c>
      <c r="BE16" s="32">
        <v>1</v>
      </c>
      <c r="BF16" s="39" t="s">
        <v>238</v>
      </c>
      <c r="BG16" s="32" t="s">
        <v>148</v>
      </c>
      <c r="BH16" s="36" t="s">
        <v>124</v>
      </c>
      <c r="BI16" s="36" t="s">
        <v>125</v>
      </c>
      <c r="BJ16" s="36" t="s">
        <v>126</v>
      </c>
      <c r="BK16" s="36" t="s">
        <v>127</v>
      </c>
      <c r="BL16" s="36" t="s">
        <v>128</v>
      </c>
      <c r="BM16" s="36" t="s">
        <v>129</v>
      </c>
      <c r="BN16" s="36" t="s">
        <v>239</v>
      </c>
      <c r="BO16" s="36" t="s">
        <v>240</v>
      </c>
      <c r="BP16" s="37"/>
      <c r="BQ16" s="32" t="s">
        <v>106</v>
      </c>
      <c r="BR16" s="32"/>
      <c r="BS16" s="32" t="s">
        <v>106</v>
      </c>
      <c r="BT16" s="32"/>
      <c r="BU16" s="32"/>
      <c r="BV16" s="32"/>
      <c r="BW16" s="36" t="s">
        <v>192</v>
      </c>
      <c r="BX16" s="39" t="s">
        <v>193</v>
      </c>
      <c r="BY16" s="39" t="s">
        <v>194</v>
      </c>
    </row>
    <row r="17" spans="1:77" s="84" customFormat="1" ht="21.95" customHeight="1">
      <c r="A17" s="80">
        <v>1</v>
      </c>
      <c r="B17" s="76" t="s">
        <v>92</v>
      </c>
      <c r="C17" s="30" t="s">
        <v>132</v>
      </c>
      <c r="D17" s="31" t="s">
        <v>133</v>
      </c>
      <c r="E17" s="31" t="s">
        <v>95</v>
      </c>
      <c r="F17" s="32" t="s">
        <v>241</v>
      </c>
      <c r="G17" s="32" t="s">
        <v>242</v>
      </c>
      <c r="H17" s="32" t="s">
        <v>182</v>
      </c>
      <c r="I17" s="33" t="s">
        <v>243</v>
      </c>
      <c r="J17" s="34" t="s">
        <v>100</v>
      </c>
      <c r="K17" s="34" t="s">
        <v>100</v>
      </c>
      <c r="L17" s="34" t="s">
        <v>100</v>
      </c>
      <c r="M17" s="34" t="s">
        <v>100</v>
      </c>
      <c r="N17" s="34" t="s">
        <v>100</v>
      </c>
      <c r="O17" s="35" t="s">
        <v>101</v>
      </c>
      <c r="P17" s="33" t="s">
        <v>244</v>
      </c>
      <c r="Q17" s="36" t="s">
        <v>245</v>
      </c>
      <c r="R17" s="33" t="s">
        <v>246</v>
      </c>
      <c r="S17" s="31" t="s">
        <v>140</v>
      </c>
      <c r="T17" s="37"/>
      <c r="U17" s="37"/>
      <c r="V17" s="37"/>
      <c r="W17" s="37"/>
      <c r="X17" s="37"/>
      <c r="Y17" s="37" t="s">
        <v>106</v>
      </c>
      <c r="Z17" s="32" t="s">
        <v>141</v>
      </c>
      <c r="AA17" s="32" t="s">
        <v>108</v>
      </c>
      <c r="AB17" s="37" t="s">
        <v>106</v>
      </c>
      <c r="AC17" s="37" t="s">
        <v>106</v>
      </c>
      <c r="AD17" s="37" t="s">
        <v>106</v>
      </c>
      <c r="AE17" s="37" t="s">
        <v>106</v>
      </c>
      <c r="AF17" s="37" t="s">
        <v>106</v>
      </c>
      <c r="AG17" s="37" t="s">
        <v>106</v>
      </c>
      <c r="AH17" s="32" t="s">
        <v>106</v>
      </c>
      <c r="AI17" s="31" t="s">
        <v>109</v>
      </c>
      <c r="AJ17" s="31" t="s">
        <v>142</v>
      </c>
      <c r="AK17" s="32" t="s">
        <v>111</v>
      </c>
      <c r="AL17" s="32" t="s">
        <v>112</v>
      </c>
      <c r="AM17" s="32" t="s">
        <v>111</v>
      </c>
      <c r="AN17" s="32" t="s">
        <v>114</v>
      </c>
      <c r="AO17" s="32" t="s">
        <v>114</v>
      </c>
      <c r="AP17" s="32" t="s">
        <v>114</v>
      </c>
      <c r="AQ17" s="32" t="s">
        <v>114</v>
      </c>
      <c r="AR17" s="32" t="s">
        <v>114</v>
      </c>
      <c r="AS17" s="32" t="s">
        <v>114</v>
      </c>
      <c r="AT17" s="32" t="s">
        <v>114</v>
      </c>
      <c r="AU17" s="32" t="s">
        <v>114</v>
      </c>
      <c r="AV17" s="38" t="s">
        <v>116</v>
      </c>
      <c r="AW17" s="36" t="s">
        <v>247</v>
      </c>
      <c r="AX17" s="36" t="s">
        <v>112</v>
      </c>
      <c r="AY17" s="32"/>
      <c r="AZ17" s="32"/>
      <c r="BA17" s="32" t="s">
        <v>145</v>
      </c>
      <c r="BB17" s="32"/>
      <c r="BC17" s="32" t="s">
        <v>225</v>
      </c>
      <c r="BD17" s="32" t="s">
        <v>162</v>
      </c>
      <c r="BE17" s="32">
        <v>1</v>
      </c>
      <c r="BF17" s="39" t="s">
        <v>248</v>
      </c>
      <c r="BG17" s="32" t="s">
        <v>148</v>
      </c>
      <c r="BH17" s="36" t="s">
        <v>124</v>
      </c>
      <c r="BI17" s="36" t="s">
        <v>125</v>
      </c>
      <c r="BJ17" s="36" t="s">
        <v>126</v>
      </c>
      <c r="BK17" s="36" t="s">
        <v>127</v>
      </c>
      <c r="BL17" s="36" t="s">
        <v>128</v>
      </c>
      <c r="BM17" s="36" t="s">
        <v>129</v>
      </c>
      <c r="BN17" s="36" t="s">
        <v>249</v>
      </c>
      <c r="BO17" s="36" t="s">
        <v>250</v>
      </c>
      <c r="BP17" s="37"/>
      <c r="BQ17" s="32" t="s">
        <v>106</v>
      </c>
      <c r="BR17" s="32"/>
      <c r="BS17" s="32" t="s">
        <v>106</v>
      </c>
      <c r="BT17" s="32"/>
      <c r="BU17" s="32"/>
      <c r="BV17" s="32"/>
      <c r="BW17" s="36" t="s">
        <v>192</v>
      </c>
      <c r="BX17" s="39" t="s">
        <v>193</v>
      </c>
      <c r="BY17" s="39" t="s">
        <v>194</v>
      </c>
    </row>
    <row r="18" spans="1:77" s="84" customFormat="1" ht="21.95" customHeight="1">
      <c r="A18" s="80">
        <v>1</v>
      </c>
      <c r="B18" s="76" t="s">
        <v>92</v>
      </c>
      <c r="C18" s="30" t="s">
        <v>93</v>
      </c>
      <c r="D18" s="31" t="s">
        <v>94</v>
      </c>
      <c r="E18" s="31" t="s">
        <v>95</v>
      </c>
      <c r="F18" s="32" t="s">
        <v>251</v>
      </c>
      <c r="G18" s="32" t="s">
        <v>252</v>
      </c>
      <c r="H18" s="32" t="s">
        <v>419</v>
      </c>
      <c r="I18" s="33" t="s">
        <v>253</v>
      </c>
      <c r="J18" s="34" t="s">
        <v>100</v>
      </c>
      <c r="K18" s="34" t="s">
        <v>100</v>
      </c>
      <c r="L18" s="34" t="s">
        <v>100</v>
      </c>
      <c r="M18" s="34" t="s">
        <v>100</v>
      </c>
      <c r="N18" s="34" t="s">
        <v>100</v>
      </c>
      <c r="O18" s="35" t="s">
        <v>101</v>
      </c>
      <c r="P18" s="33" t="s">
        <v>254</v>
      </c>
      <c r="Q18" s="36" t="s">
        <v>255</v>
      </c>
      <c r="R18" s="33" t="s">
        <v>256</v>
      </c>
      <c r="S18" s="31" t="s">
        <v>257</v>
      </c>
      <c r="T18" s="37"/>
      <c r="U18" s="37"/>
      <c r="V18" s="37"/>
      <c r="W18" s="37"/>
      <c r="X18" s="37"/>
      <c r="Y18" s="37" t="s">
        <v>106</v>
      </c>
      <c r="Z18" s="32" t="s">
        <v>107</v>
      </c>
      <c r="AA18" s="32" t="s">
        <v>108</v>
      </c>
      <c r="AB18" s="37" t="s">
        <v>106</v>
      </c>
      <c r="AC18" s="37" t="s">
        <v>106</v>
      </c>
      <c r="AD18" s="37" t="s">
        <v>106</v>
      </c>
      <c r="AE18" s="37" t="s">
        <v>106</v>
      </c>
      <c r="AF18" s="37" t="s">
        <v>106</v>
      </c>
      <c r="AG18" s="37" t="s">
        <v>106</v>
      </c>
      <c r="AH18" s="32" t="s">
        <v>106</v>
      </c>
      <c r="AI18" s="31" t="s">
        <v>258</v>
      </c>
      <c r="AJ18" s="31" t="s">
        <v>110</v>
      </c>
      <c r="AK18" s="32" t="s">
        <v>111</v>
      </c>
      <c r="AL18" s="32" t="s">
        <v>174</v>
      </c>
      <c r="AM18" s="32" t="s">
        <v>111</v>
      </c>
      <c r="AN18" s="32" t="s">
        <v>113</v>
      </c>
      <c r="AO18" s="32" t="s">
        <v>113</v>
      </c>
      <c r="AP18" s="32" t="s">
        <v>113</v>
      </c>
      <c r="AQ18" s="32" t="s">
        <v>114</v>
      </c>
      <c r="AR18" s="32" t="s">
        <v>114</v>
      </c>
      <c r="AS18" s="32" t="s">
        <v>114</v>
      </c>
      <c r="AT18" s="32" t="s">
        <v>114</v>
      </c>
      <c r="AU18" s="32" t="s">
        <v>114</v>
      </c>
      <c r="AV18" s="38" t="s">
        <v>116</v>
      </c>
      <c r="AW18" s="36" t="s">
        <v>259</v>
      </c>
      <c r="AX18" s="36" t="s">
        <v>260</v>
      </c>
      <c r="AY18" s="32"/>
      <c r="AZ18" s="32"/>
      <c r="BA18" s="32" t="s">
        <v>261</v>
      </c>
      <c r="BB18" s="32"/>
      <c r="BC18" s="32" t="s">
        <v>262</v>
      </c>
      <c r="BD18" s="32" t="s">
        <v>121</v>
      </c>
      <c r="BE18" s="32">
        <v>1</v>
      </c>
      <c r="BF18" s="39" t="s">
        <v>263</v>
      </c>
      <c r="BG18" s="32" t="s">
        <v>264</v>
      </c>
      <c r="BH18" s="36" t="s">
        <v>124</v>
      </c>
      <c r="BI18" s="36" t="s">
        <v>125</v>
      </c>
      <c r="BJ18" s="36" t="s">
        <v>126</v>
      </c>
      <c r="BK18" s="36" t="s">
        <v>127</v>
      </c>
      <c r="BL18" s="36" t="s">
        <v>128</v>
      </c>
      <c r="BM18" s="36" t="s">
        <v>129</v>
      </c>
      <c r="BN18" s="36" t="s">
        <v>265</v>
      </c>
      <c r="BO18" s="36" t="s">
        <v>266</v>
      </c>
      <c r="BP18" s="37"/>
      <c r="BQ18" s="32" t="s">
        <v>106</v>
      </c>
      <c r="BR18" s="32"/>
      <c r="BS18" s="32" t="s">
        <v>106</v>
      </c>
      <c r="BT18" s="32"/>
      <c r="BU18" s="32"/>
      <c r="BV18" s="32"/>
      <c r="BW18" s="36" t="s">
        <v>267</v>
      </c>
      <c r="BX18" s="39" t="s">
        <v>193</v>
      </c>
      <c r="BY18" s="39" t="s">
        <v>268</v>
      </c>
    </row>
    <row r="19" spans="1:77" s="84" customFormat="1" ht="21.95" customHeight="1">
      <c r="A19" s="80">
        <v>1</v>
      </c>
      <c r="B19" s="76" t="s">
        <v>92</v>
      </c>
      <c r="C19" s="30" t="s">
        <v>269</v>
      </c>
      <c r="D19" s="31" t="s">
        <v>270</v>
      </c>
      <c r="E19" s="31" t="s">
        <v>95</v>
      </c>
      <c r="F19" s="32" t="s">
        <v>271</v>
      </c>
      <c r="G19" s="32" t="s">
        <v>272</v>
      </c>
      <c r="H19" s="32" t="s">
        <v>182</v>
      </c>
      <c r="I19" s="33" t="s">
        <v>273</v>
      </c>
      <c r="J19" s="34" t="s">
        <v>100</v>
      </c>
      <c r="K19" s="34" t="s">
        <v>100</v>
      </c>
      <c r="L19" s="34" t="s">
        <v>100</v>
      </c>
      <c r="M19" s="34" t="s">
        <v>100</v>
      </c>
      <c r="N19" s="34" t="s">
        <v>100</v>
      </c>
      <c r="O19" s="35" t="s">
        <v>101</v>
      </c>
      <c r="P19" s="33" t="s">
        <v>274</v>
      </c>
      <c r="Q19" s="36" t="s">
        <v>275</v>
      </c>
      <c r="R19" s="33" t="s">
        <v>276</v>
      </c>
      <c r="S19" s="31" t="s">
        <v>257</v>
      </c>
      <c r="T19" s="37"/>
      <c r="U19" s="37"/>
      <c r="V19" s="37"/>
      <c r="W19" s="37"/>
      <c r="X19" s="37"/>
      <c r="Y19" s="37" t="s">
        <v>106</v>
      </c>
      <c r="Z19" s="32" t="s">
        <v>107</v>
      </c>
      <c r="AA19" s="32" t="s">
        <v>108</v>
      </c>
      <c r="AB19" s="37" t="s">
        <v>106</v>
      </c>
      <c r="AC19" s="37" t="s">
        <v>106</v>
      </c>
      <c r="AD19" s="37" t="s">
        <v>106</v>
      </c>
      <c r="AE19" s="37" t="s">
        <v>106</v>
      </c>
      <c r="AF19" s="37" t="s">
        <v>106</v>
      </c>
      <c r="AG19" s="37" t="s">
        <v>106</v>
      </c>
      <c r="AH19" s="32" t="s">
        <v>106</v>
      </c>
      <c r="AI19" s="31" t="s">
        <v>277</v>
      </c>
      <c r="AJ19" s="31" t="s">
        <v>278</v>
      </c>
      <c r="AK19" s="32" t="s">
        <v>111</v>
      </c>
      <c r="AL19" s="32" t="s">
        <v>112</v>
      </c>
      <c r="AM19" s="32" t="s">
        <v>111</v>
      </c>
      <c r="AN19" s="32" t="s">
        <v>115</v>
      </c>
      <c r="AO19" s="32" t="s">
        <v>115</v>
      </c>
      <c r="AP19" s="32" t="s">
        <v>113</v>
      </c>
      <c r="AQ19" s="32" t="s">
        <v>115</v>
      </c>
      <c r="AR19" s="32" t="s">
        <v>114</v>
      </c>
      <c r="AS19" s="32" t="s">
        <v>115</v>
      </c>
      <c r="AT19" s="32" t="s">
        <v>115</v>
      </c>
      <c r="AU19" s="32" t="s">
        <v>115</v>
      </c>
      <c r="AV19" s="38" t="s">
        <v>116</v>
      </c>
      <c r="AW19" s="36" t="s">
        <v>279</v>
      </c>
      <c r="AX19" s="36" t="s">
        <v>112</v>
      </c>
      <c r="AY19" s="32"/>
      <c r="AZ19" s="32"/>
      <c r="BA19" s="32" t="s">
        <v>145</v>
      </c>
      <c r="BB19" s="32"/>
      <c r="BC19" s="32" t="s">
        <v>280</v>
      </c>
      <c r="BD19" s="32" t="s">
        <v>121</v>
      </c>
      <c r="BE19" s="32">
        <v>1</v>
      </c>
      <c r="BF19" s="39" t="s">
        <v>281</v>
      </c>
      <c r="BG19" s="32" t="s">
        <v>148</v>
      </c>
      <c r="BH19" s="36" t="s">
        <v>124</v>
      </c>
      <c r="BI19" s="36" t="s">
        <v>125</v>
      </c>
      <c r="BJ19" s="36" t="s">
        <v>126</v>
      </c>
      <c r="BK19" s="36" t="s">
        <v>127</v>
      </c>
      <c r="BL19" s="36" t="s">
        <v>128</v>
      </c>
      <c r="BM19" s="36" t="s">
        <v>129</v>
      </c>
      <c r="BN19" s="36" t="s">
        <v>282</v>
      </c>
      <c r="BO19" s="36" t="s">
        <v>283</v>
      </c>
      <c r="BP19" s="37"/>
      <c r="BQ19" s="32" t="s">
        <v>106</v>
      </c>
      <c r="BR19" s="32"/>
      <c r="BS19" s="32" t="s">
        <v>106</v>
      </c>
      <c r="BT19" s="32"/>
      <c r="BU19" s="32"/>
      <c r="BV19" s="32"/>
      <c r="BW19" s="36" t="s">
        <v>267</v>
      </c>
      <c r="BX19" s="39" t="s">
        <v>284</v>
      </c>
      <c r="BY19" s="39" t="s">
        <v>268</v>
      </c>
    </row>
    <row r="20" spans="1:77" s="81" customFormat="1" ht="21.95" customHeight="1">
      <c r="A20" s="60">
        <v>1</v>
      </c>
      <c r="B20" s="77" t="s">
        <v>92</v>
      </c>
      <c r="C20" s="41" t="s">
        <v>132</v>
      </c>
      <c r="D20" s="42" t="s">
        <v>94</v>
      </c>
      <c r="E20" s="42" t="s">
        <v>95</v>
      </c>
      <c r="F20" s="43" t="s">
        <v>285</v>
      </c>
      <c r="G20" s="43" t="s">
        <v>286</v>
      </c>
      <c r="H20" s="43" t="s">
        <v>182</v>
      </c>
      <c r="I20" s="44" t="s">
        <v>287</v>
      </c>
      <c r="J20" s="45" t="s">
        <v>100</v>
      </c>
      <c r="K20" s="45" t="s">
        <v>100</v>
      </c>
      <c r="L20" s="45" t="s">
        <v>100</v>
      </c>
      <c r="M20" s="45" t="s">
        <v>100</v>
      </c>
      <c r="N20" s="45" t="s">
        <v>100</v>
      </c>
      <c r="O20" s="46" t="s">
        <v>101</v>
      </c>
      <c r="P20" s="44" t="s">
        <v>288</v>
      </c>
      <c r="Q20" s="40" t="s">
        <v>289</v>
      </c>
      <c r="R20" s="44" t="s">
        <v>290</v>
      </c>
      <c r="S20" s="42" t="s">
        <v>140</v>
      </c>
      <c r="T20" s="47"/>
      <c r="U20" s="47"/>
      <c r="V20" s="47"/>
      <c r="W20" s="47"/>
      <c r="X20" s="47"/>
      <c r="Y20" s="47" t="s">
        <v>106</v>
      </c>
      <c r="Z20" s="43" t="s">
        <v>141</v>
      </c>
      <c r="AA20" s="43" t="s">
        <v>108</v>
      </c>
      <c r="AB20" s="47" t="s">
        <v>106</v>
      </c>
      <c r="AC20" s="47" t="s">
        <v>106</v>
      </c>
      <c r="AD20" s="47" t="s">
        <v>106</v>
      </c>
      <c r="AE20" s="47" t="s">
        <v>106</v>
      </c>
      <c r="AF20" s="47" t="s">
        <v>106</v>
      </c>
      <c r="AG20" s="47" t="s">
        <v>106</v>
      </c>
      <c r="AH20" s="43" t="s">
        <v>106</v>
      </c>
      <c r="AI20" s="42" t="s">
        <v>277</v>
      </c>
      <c r="AJ20" s="42" t="s">
        <v>142</v>
      </c>
      <c r="AK20" s="43" t="s">
        <v>111</v>
      </c>
      <c r="AL20" s="43" t="s">
        <v>260</v>
      </c>
      <c r="AM20" s="43" t="s">
        <v>111</v>
      </c>
      <c r="AN20" s="43" t="s">
        <v>115</v>
      </c>
      <c r="AO20" s="43" t="s">
        <v>115</v>
      </c>
      <c r="AP20" s="43" t="s">
        <v>115</v>
      </c>
      <c r="AQ20" s="43" t="s">
        <v>115</v>
      </c>
      <c r="AR20" s="43" t="s">
        <v>114</v>
      </c>
      <c r="AS20" s="43" t="s">
        <v>113</v>
      </c>
      <c r="AT20" s="43" t="s">
        <v>114</v>
      </c>
      <c r="AU20" s="43" t="s">
        <v>115</v>
      </c>
      <c r="AV20" s="48" t="s">
        <v>116</v>
      </c>
      <c r="AW20" s="40" t="s">
        <v>291</v>
      </c>
      <c r="AX20" s="40" t="s">
        <v>112</v>
      </c>
      <c r="AY20" s="43"/>
      <c r="AZ20" s="43"/>
      <c r="BA20" s="43" t="s">
        <v>145</v>
      </c>
      <c r="BB20" s="43"/>
      <c r="BC20" s="43" t="s">
        <v>292</v>
      </c>
      <c r="BD20" s="43" t="s">
        <v>162</v>
      </c>
      <c r="BE20" s="43">
        <v>1</v>
      </c>
      <c r="BF20" s="49" t="s">
        <v>293</v>
      </c>
      <c r="BG20" s="43" t="s">
        <v>264</v>
      </c>
      <c r="BH20" s="40" t="s">
        <v>124</v>
      </c>
      <c r="BI20" s="40" t="s">
        <v>125</v>
      </c>
      <c r="BJ20" s="40" t="s">
        <v>126</v>
      </c>
      <c r="BK20" s="40" t="s">
        <v>127</v>
      </c>
      <c r="BL20" s="40" t="s">
        <v>128</v>
      </c>
      <c r="BM20" s="40" t="s">
        <v>129</v>
      </c>
      <c r="BN20" s="40" t="s">
        <v>294</v>
      </c>
      <c r="BO20" s="40" t="s">
        <v>295</v>
      </c>
      <c r="BP20" s="47"/>
      <c r="BQ20" s="43" t="s">
        <v>106</v>
      </c>
      <c r="BR20" s="43"/>
      <c r="BS20" s="43" t="s">
        <v>106</v>
      </c>
      <c r="BT20" s="43"/>
      <c r="BU20" s="43"/>
      <c r="BV20" s="43"/>
      <c r="BW20" s="40" t="s">
        <v>192</v>
      </c>
      <c r="BX20" s="49" t="s">
        <v>193</v>
      </c>
      <c r="BY20" s="49" t="s">
        <v>194</v>
      </c>
    </row>
    <row r="21" spans="1:77" s="84" customFormat="1" ht="21.95" customHeight="1">
      <c r="A21" s="80">
        <v>1</v>
      </c>
      <c r="B21" s="76" t="s">
        <v>92</v>
      </c>
      <c r="C21" s="30" t="s">
        <v>132</v>
      </c>
      <c r="D21" s="31" t="s">
        <v>296</v>
      </c>
      <c r="E21" s="31" t="s">
        <v>297</v>
      </c>
      <c r="F21" s="32" t="s">
        <v>298</v>
      </c>
      <c r="G21" s="32" t="s">
        <v>299</v>
      </c>
      <c r="H21" s="32" t="s">
        <v>300</v>
      </c>
      <c r="I21" s="33" t="s">
        <v>301</v>
      </c>
      <c r="J21" s="34" t="s">
        <v>100</v>
      </c>
      <c r="K21" s="34" t="s">
        <v>100</v>
      </c>
      <c r="L21" s="34" t="s">
        <v>100</v>
      </c>
      <c r="M21" s="34" t="s">
        <v>100</v>
      </c>
      <c r="N21" s="34" t="s">
        <v>100</v>
      </c>
      <c r="O21" s="35" t="s">
        <v>101</v>
      </c>
      <c r="P21" s="33" t="s">
        <v>302</v>
      </c>
      <c r="Q21" s="36" t="s">
        <v>303</v>
      </c>
      <c r="R21" s="33" t="s">
        <v>304</v>
      </c>
      <c r="S21" s="31" t="s">
        <v>140</v>
      </c>
      <c r="T21" s="37"/>
      <c r="U21" s="37"/>
      <c r="V21" s="37"/>
      <c r="W21" s="37"/>
      <c r="X21" s="37"/>
      <c r="Y21" s="37" t="s">
        <v>106</v>
      </c>
      <c r="Z21" s="32" t="s">
        <v>107</v>
      </c>
      <c r="AA21" s="32" t="s">
        <v>108</v>
      </c>
      <c r="AB21" s="37" t="s">
        <v>106</v>
      </c>
      <c r="AC21" s="37" t="s">
        <v>106</v>
      </c>
      <c r="AD21" s="37" t="s">
        <v>106</v>
      </c>
      <c r="AE21" s="37" t="s">
        <v>106</v>
      </c>
      <c r="AF21" s="37" t="s">
        <v>106</v>
      </c>
      <c r="AG21" s="37" t="s">
        <v>106</v>
      </c>
      <c r="AH21" s="32" t="s">
        <v>106</v>
      </c>
      <c r="AI21" s="31" t="s">
        <v>109</v>
      </c>
      <c r="AJ21" s="31" t="s">
        <v>142</v>
      </c>
      <c r="AK21" s="32" t="s">
        <v>111</v>
      </c>
      <c r="AL21" s="32" t="s">
        <v>112</v>
      </c>
      <c r="AM21" s="32" t="s">
        <v>111</v>
      </c>
      <c r="AN21" s="32" t="s">
        <v>114</v>
      </c>
      <c r="AO21" s="32" t="s">
        <v>115</v>
      </c>
      <c r="AP21" s="32" t="s">
        <v>114</v>
      </c>
      <c r="AQ21" s="32" t="s">
        <v>114</v>
      </c>
      <c r="AR21" s="32" t="s">
        <v>114</v>
      </c>
      <c r="AS21" s="32" t="s">
        <v>114</v>
      </c>
      <c r="AT21" s="32" t="s">
        <v>114</v>
      </c>
      <c r="AU21" s="32" t="s">
        <v>114</v>
      </c>
      <c r="AV21" s="38" t="s">
        <v>116</v>
      </c>
      <c r="AW21" s="36" t="s">
        <v>305</v>
      </c>
      <c r="AX21" s="36" t="s">
        <v>306</v>
      </c>
      <c r="AY21" s="32"/>
      <c r="AZ21" s="32"/>
      <c r="BA21" s="32" t="s">
        <v>145</v>
      </c>
      <c r="BB21" s="32"/>
      <c r="BC21" s="32" t="s">
        <v>307</v>
      </c>
      <c r="BD21" s="32" t="s">
        <v>162</v>
      </c>
      <c r="BE21" s="32">
        <v>1</v>
      </c>
      <c r="BF21" s="39" t="s">
        <v>308</v>
      </c>
      <c r="BG21" s="32" t="s">
        <v>148</v>
      </c>
      <c r="BH21" s="36" t="s">
        <v>124</v>
      </c>
      <c r="BI21" s="36" t="s">
        <v>125</v>
      </c>
      <c r="BJ21" s="36" t="s">
        <v>126</v>
      </c>
      <c r="BK21" s="36" t="s">
        <v>127</v>
      </c>
      <c r="BL21" s="36" t="s">
        <v>128</v>
      </c>
      <c r="BM21" s="36" t="s">
        <v>129</v>
      </c>
      <c r="BN21" s="36" t="s">
        <v>309</v>
      </c>
      <c r="BO21" s="36" t="s">
        <v>310</v>
      </c>
      <c r="BP21" s="37"/>
      <c r="BQ21" s="32" t="s">
        <v>106</v>
      </c>
      <c r="BR21" s="32"/>
      <c r="BS21" s="32" t="s">
        <v>106</v>
      </c>
      <c r="BT21" s="32"/>
      <c r="BU21" s="32"/>
      <c r="BV21" s="32"/>
      <c r="BW21" s="36" t="s">
        <v>311</v>
      </c>
      <c r="BX21" s="39" t="s">
        <v>312</v>
      </c>
      <c r="BY21" s="39" t="s">
        <v>313</v>
      </c>
    </row>
    <row r="22" spans="1:77" s="84" customFormat="1" ht="21.95" customHeight="1">
      <c r="A22" s="80">
        <v>1</v>
      </c>
      <c r="B22" s="76" t="s">
        <v>92</v>
      </c>
      <c r="C22" s="30" t="s">
        <v>132</v>
      </c>
      <c r="D22" s="31" t="s">
        <v>314</v>
      </c>
      <c r="E22" s="31" t="s">
        <v>297</v>
      </c>
      <c r="F22" s="32" t="s">
        <v>315</v>
      </c>
      <c r="G22" s="32" t="s">
        <v>316</v>
      </c>
      <c r="H22" s="32" t="s">
        <v>300</v>
      </c>
      <c r="I22" s="33" t="s">
        <v>317</v>
      </c>
      <c r="J22" s="34" t="s">
        <v>100</v>
      </c>
      <c r="K22" s="34" t="s">
        <v>100</v>
      </c>
      <c r="L22" s="34" t="s">
        <v>100</v>
      </c>
      <c r="M22" s="34" t="s">
        <v>100</v>
      </c>
      <c r="N22" s="34" t="s">
        <v>100</v>
      </c>
      <c r="O22" s="35" t="s">
        <v>101</v>
      </c>
      <c r="P22" s="33" t="s">
        <v>318</v>
      </c>
      <c r="Q22" s="36" t="s">
        <v>319</v>
      </c>
      <c r="R22" s="33" t="s">
        <v>320</v>
      </c>
      <c r="S22" s="31" t="s">
        <v>140</v>
      </c>
      <c r="T22" s="37"/>
      <c r="U22" s="37"/>
      <c r="V22" s="37"/>
      <c r="W22" s="37"/>
      <c r="X22" s="37"/>
      <c r="Y22" s="37" t="s">
        <v>106</v>
      </c>
      <c r="Z22" s="32" t="s">
        <v>141</v>
      </c>
      <c r="AA22" s="32" t="s">
        <v>108</v>
      </c>
      <c r="AB22" s="37" t="s">
        <v>106</v>
      </c>
      <c r="AC22" s="37" t="s">
        <v>106</v>
      </c>
      <c r="AD22" s="37" t="s">
        <v>106</v>
      </c>
      <c r="AE22" s="37" t="s">
        <v>106</v>
      </c>
      <c r="AF22" s="37" t="s">
        <v>106</v>
      </c>
      <c r="AG22" s="37" t="s">
        <v>106</v>
      </c>
      <c r="AH22" s="32" t="s">
        <v>106</v>
      </c>
      <c r="AI22" s="31" t="s">
        <v>109</v>
      </c>
      <c r="AJ22" s="31" t="s">
        <v>142</v>
      </c>
      <c r="AK22" s="32" t="s">
        <v>111</v>
      </c>
      <c r="AL22" s="32" t="s">
        <v>321</v>
      </c>
      <c r="AM22" s="32" t="s">
        <v>111</v>
      </c>
      <c r="AN22" s="32" t="s">
        <v>114</v>
      </c>
      <c r="AO22" s="32" t="s">
        <v>114</v>
      </c>
      <c r="AP22" s="32" t="s">
        <v>114</v>
      </c>
      <c r="AQ22" s="32" t="s">
        <v>114</v>
      </c>
      <c r="AR22" s="32" t="s">
        <v>114</v>
      </c>
      <c r="AS22" s="32" t="s">
        <v>114</v>
      </c>
      <c r="AT22" s="32" t="s">
        <v>114</v>
      </c>
      <c r="AU22" s="32" t="s">
        <v>114</v>
      </c>
      <c r="AV22" s="38" t="s">
        <v>116</v>
      </c>
      <c r="AW22" s="36" t="s">
        <v>322</v>
      </c>
      <c r="AX22" s="36" t="s">
        <v>112</v>
      </c>
      <c r="AY22" s="32"/>
      <c r="AZ22" s="32"/>
      <c r="BA22" s="32" t="s">
        <v>261</v>
      </c>
      <c r="BB22" s="32"/>
      <c r="BC22" s="32" t="s">
        <v>323</v>
      </c>
      <c r="BD22" s="32" t="s">
        <v>121</v>
      </c>
      <c r="BE22" s="32">
        <v>1</v>
      </c>
      <c r="BF22" s="39" t="s">
        <v>324</v>
      </c>
      <c r="BG22" s="32" t="s">
        <v>148</v>
      </c>
      <c r="BH22" s="36" t="s">
        <v>124</v>
      </c>
      <c r="BI22" s="36" t="s">
        <v>125</v>
      </c>
      <c r="BJ22" s="36" t="s">
        <v>126</v>
      </c>
      <c r="BK22" s="36" t="s">
        <v>127</v>
      </c>
      <c r="BL22" s="36" t="s">
        <v>128</v>
      </c>
      <c r="BM22" s="36" t="s">
        <v>129</v>
      </c>
      <c r="BN22" s="36" t="s">
        <v>325</v>
      </c>
      <c r="BO22" s="36" t="s">
        <v>326</v>
      </c>
      <c r="BP22" s="37"/>
      <c r="BQ22" s="32" t="s">
        <v>106</v>
      </c>
      <c r="BR22" s="32"/>
      <c r="BS22" s="32" t="s">
        <v>106</v>
      </c>
      <c r="BT22" s="32"/>
      <c r="BU22" s="32"/>
      <c r="BV22" s="32"/>
      <c r="BW22" s="36" t="s">
        <v>192</v>
      </c>
      <c r="BX22" s="39" t="s">
        <v>193</v>
      </c>
      <c r="BY22" s="39" t="s">
        <v>268</v>
      </c>
    </row>
    <row r="23" spans="1:77" s="84" customFormat="1" ht="21.95" customHeight="1">
      <c r="A23" s="80">
        <v>1</v>
      </c>
      <c r="B23" s="76" t="s">
        <v>92</v>
      </c>
      <c r="C23" s="30" t="s">
        <v>132</v>
      </c>
      <c r="D23" s="31" t="s">
        <v>296</v>
      </c>
      <c r="E23" s="31" t="s">
        <v>297</v>
      </c>
      <c r="F23" s="32" t="s">
        <v>327</v>
      </c>
      <c r="G23" s="32" t="s">
        <v>328</v>
      </c>
      <c r="H23" s="32" t="s">
        <v>300</v>
      </c>
      <c r="I23" s="33" t="s">
        <v>329</v>
      </c>
      <c r="J23" s="34" t="s">
        <v>100</v>
      </c>
      <c r="K23" s="34" t="s">
        <v>100</v>
      </c>
      <c r="L23" s="34" t="s">
        <v>100</v>
      </c>
      <c r="M23" s="34" t="s">
        <v>100</v>
      </c>
      <c r="N23" s="34" t="s">
        <v>100</v>
      </c>
      <c r="O23" s="35" t="s">
        <v>101</v>
      </c>
      <c r="P23" s="33" t="s">
        <v>330</v>
      </c>
      <c r="Q23" s="36" t="s">
        <v>331</v>
      </c>
      <c r="R23" s="33" t="s">
        <v>332</v>
      </c>
      <c r="S23" s="31" t="s">
        <v>140</v>
      </c>
      <c r="T23" s="37"/>
      <c r="U23" s="37"/>
      <c r="V23" s="37"/>
      <c r="W23" s="37"/>
      <c r="X23" s="37"/>
      <c r="Y23" s="37" t="s">
        <v>106</v>
      </c>
      <c r="Z23" s="32" t="s">
        <v>107</v>
      </c>
      <c r="AA23" s="32" t="s">
        <v>108</v>
      </c>
      <c r="AB23" s="37" t="s">
        <v>106</v>
      </c>
      <c r="AC23" s="37" t="s">
        <v>106</v>
      </c>
      <c r="AD23" s="37" t="s">
        <v>106</v>
      </c>
      <c r="AE23" s="37" t="s">
        <v>106</v>
      </c>
      <c r="AF23" s="37" t="s">
        <v>106</v>
      </c>
      <c r="AG23" s="37" t="s">
        <v>106</v>
      </c>
      <c r="AH23" s="32" t="s">
        <v>106</v>
      </c>
      <c r="AI23" s="31" t="s">
        <v>109</v>
      </c>
      <c r="AJ23" s="31" t="s">
        <v>142</v>
      </c>
      <c r="AK23" s="32" t="s">
        <v>111</v>
      </c>
      <c r="AL23" s="32" t="s">
        <v>112</v>
      </c>
      <c r="AM23" s="32" t="s">
        <v>111</v>
      </c>
      <c r="AN23" s="32" t="s">
        <v>114</v>
      </c>
      <c r="AO23" s="32" t="s">
        <v>114</v>
      </c>
      <c r="AP23" s="32" t="s">
        <v>114</v>
      </c>
      <c r="AQ23" s="32" t="s">
        <v>114</v>
      </c>
      <c r="AR23" s="32" t="s">
        <v>114</v>
      </c>
      <c r="AS23" s="32" t="s">
        <v>114</v>
      </c>
      <c r="AT23" s="32" t="s">
        <v>115</v>
      </c>
      <c r="AU23" s="32" t="s">
        <v>114</v>
      </c>
      <c r="AV23" s="38" t="s">
        <v>116</v>
      </c>
      <c r="AW23" s="36" t="s">
        <v>333</v>
      </c>
      <c r="AX23" s="36" t="s">
        <v>112</v>
      </c>
      <c r="AY23" s="32"/>
      <c r="AZ23" s="32"/>
      <c r="BA23" s="32" t="s">
        <v>261</v>
      </c>
      <c r="BB23" s="32"/>
      <c r="BC23" s="32" t="s">
        <v>334</v>
      </c>
      <c r="BD23" s="32" t="s">
        <v>162</v>
      </c>
      <c r="BE23" s="32">
        <v>1</v>
      </c>
      <c r="BF23" s="39" t="s">
        <v>335</v>
      </c>
      <c r="BG23" s="32" t="s">
        <v>264</v>
      </c>
      <c r="BH23" s="36" t="s">
        <v>124</v>
      </c>
      <c r="BI23" s="36" t="s">
        <v>125</v>
      </c>
      <c r="BJ23" s="36" t="s">
        <v>126</v>
      </c>
      <c r="BK23" s="36" t="s">
        <v>127</v>
      </c>
      <c r="BL23" s="36" t="s">
        <v>128</v>
      </c>
      <c r="BM23" s="36" t="s">
        <v>129</v>
      </c>
      <c r="BN23" s="36" t="s">
        <v>336</v>
      </c>
      <c r="BO23" s="36" t="s">
        <v>337</v>
      </c>
      <c r="BP23" s="37"/>
      <c r="BQ23" s="32" t="s">
        <v>106</v>
      </c>
      <c r="BR23" s="32"/>
      <c r="BS23" s="32" t="s">
        <v>106</v>
      </c>
      <c r="BT23" s="32"/>
      <c r="BU23" s="32"/>
      <c r="BV23" s="32"/>
      <c r="BW23" s="36" t="s">
        <v>192</v>
      </c>
      <c r="BX23" s="39" t="s">
        <v>284</v>
      </c>
      <c r="BY23" s="39" t="s">
        <v>194</v>
      </c>
    </row>
    <row r="24" spans="1:77" s="84" customFormat="1" ht="21.95" customHeight="1">
      <c r="A24" s="80">
        <v>1</v>
      </c>
      <c r="B24" s="76" t="s">
        <v>92</v>
      </c>
      <c r="C24" s="30" t="s">
        <v>132</v>
      </c>
      <c r="D24" s="31" t="s">
        <v>296</v>
      </c>
      <c r="E24" s="31" t="s">
        <v>297</v>
      </c>
      <c r="F24" s="32" t="s">
        <v>338</v>
      </c>
      <c r="G24" s="32" t="s">
        <v>339</v>
      </c>
      <c r="H24" s="32" t="s">
        <v>182</v>
      </c>
      <c r="I24" s="33" t="s">
        <v>340</v>
      </c>
      <c r="J24" s="34" t="s">
        <v>100</v>
      </c>
      <c r="K24" s="34" t="s">
        <v>100</v>
      </c>
      <c r="L24" s="34" t="s">
        <v>100</v>
      </c>
      <c r="M24" s="34" t="s">
        <v>100</v>
      </c>
      <c r="N24" s="34" t="s">
        <v>100</v>
      </c>
      <c r="O24" s="35" t="s">
        <v>101</v>
      </c>
      <c r="P24" s="33" t="s">
        <v>341</v>
      </c>
      <c r="Q24" s="36" t="s">
        <v>342</v>
      </c>
      <c r="R24" s="33" t="s">
        <v>343</v>
      </c>
      <c r="S24" s="31" t="s">
        <v>140</v>
      </c>
      <c r="T24" s="37"/>
      <c r="U24" s="37"/>
      <c r="V24" s="37"/>
      <c r="W24" s="37"/>
      <c r="X24" s="37"/>
      <c r="Y24" s="37" t="s">
        <v>106</v>
      </c>
      <c r="Z24" s="32" t="s">
        <v>107</v>
      </c>
      <c r="AA24" s="32" t="s">
        <v>108</v>
      </c>
      <c r="AB24" s="37" t="s">
        <v>106</v>
      </c>
      <c r="AC24" s="37" t="s">
        <v>106</v>
      </c>
      <c r="AD24" s="37" t="s">
        <v>106</v>
      </c>
      <c r="AE24" s="37" t="s">
        <v>106</v>
      </c>
      <c r="AF24" s="37" t="s">
        <v>106</v>
      </c>
      <c r="AG24" s="37" t="s">
        <v>106</v>
      </c>
      <c r="AH24" s="32" t="s">
        <v>106</v>
      </c>
      <c r="AI24" s="31" t="s">
        <v>109</v>
      </c>
      <c r="AJ24" s="31" t="s">
        <v>142</v>
      </c>
      <c r="AK24" s="32" t="s">
        <v>111</v>
      </c>
      <c r="AL24" s="32" t="s">
        <v>112</v>
      </c>
      <c r="AM24" s="32" t="s">
        <v>111</v>
      </c>
      <c r="AN24" s="32" t="s">
        <v>114</v>
      </c>
      <c r="AO24" s="32" t="s">
        <v>114</v>
      </c>
      <c r="AP24" s="32" t="s">
        <v>114</v>
      </c>
      <c r="AQ24" s="32" t="s">
        <v>114</v>
      </c>
      <c r="AR24" s="32" t="s">
        <v>114</v>
      </c>
      <c r="AS24" s="32" t="s">
        <v>114</v>
      </c>
      <c r="AT24" s="32" t="s">
        <v>114</v>
      </c>
      <c r="AU24" s="32" t="s">
        <v>114</v>
      </c>
      <c r="AV24" s="38" t="s">
        <v>116</v>
      </c>
      <c r="AW24" s="36" t="s">
        <v>344</v>
      </c>
      <c r="AX24" s="36" t="s">
        <v>112</v>
      </c>
      <c r="AY24" s="32"/>
      <c r="AZ24" s="32"/>
      <c r="BA24" s="32" t="s">
        <v>145</v>
      </c>
      <c r="BB24" s="32"/>
      <c r="BC24" s="32" t="s">
        <v>345</v>
      </c>
      <c r="BD24" s="32" t="s">
        <v>162</v>
      </c>
      <c r="BE24" s="32">
        <v>1</v>
      </c>
      <c r="BF24" s="39" t="s">
        <v>346</v>
      </c>
      <c r="BG24" s="32" t="s">
        <v>148</v>
      </c>
      <c r="BH24" s="36" t="s">
        <v>124</v>
      </c>
      <c r="BI24" s="36" t="s">
        <v>125</v>
      </c>
      <c r="BJ24" s="36" t="s">
        <v>126</v>
      </c>
      <c r="BK24" s="36" t="s">
        <v>127</v>
      </c>
      <c r="BL24" s="36" t="s">
        <v>128</v>
      </c>
      <c r="BM24" s="36" t="s">
        <v>129</v>
      </c>
      <c r="BN24" s="36" t="s">
        <v>347</v>
      </c>
      <c r="BO24" s="36" t="s">
        <v>348</v>
      </c>
      <c r="BP24" s="37"/>
      <c r="BQ24" s="32" t="s">
        <v>106</v>
      </c>
      <c r="BR24" s="32"/>
      <c r="BS24" s="32" t="s">
        <v>106</v>
      </c>
      <c r="BT24" s="32"/>
      <c r="BU24" s="32"/>
      <c r="BV24" s="32"/>
      <c r="BW24" s="36" t="s">
        <v>192</v>
      </c>
      <c r="BX24" s="39" t="s">
        <v>193</v>
      </c>
      <c r="BY24" s="39" t="s">
        <v>268</v>
      </c>
    </row>
    <row r="25" spans="1:77" s="84" customFormat="1" ht="21.95" customHeight="1">
      <c r="A25" s="80">
        <v>1</v>
      </c>
      <c r="B25" s="76" t="s">
        <v>92</v>
      </c>
      <c r="C25" s="30" t="s">
        <v>132</v>
      </c>
      <c r="D25" s="31" t="s">
        <v>296</v>
      </c>
      <c r="E25" s="31" t="s">
        <v>297</v>
      </c>
      <c r="F25" s="32" t="s">
        <v>349</v>
      </c>
      <c r="G25" s="32" t="s">
        <v>350</v>
      </c>
      <c r="H25" s="32" t="s">
        <v>182</v>
      </c>
      <c r="I25" s="33" t="s">
        <v>351</v>
      </c>
      <c r="J25" s="34" t="s">
        <v>100</v>
      </c>
      <c r="K25" s="34" t="s">
        <v>100</v>
      </c>
      <c r="L25" s="34" t="s">
        <v>100</v>
      </c>
      <c r="M25" s="34" t="s">
        <v>100</v>
      </c>
      <c r="N25" s="34" t="s">
        <v>100</v>
      </c>
      <c r="O25" s="35" t="s">
        <v>101</v>
      </c>
      <c r="P25" s="33" t="s">
        <v>352</v>
      </c>
      <c r="Q25" s="36" t="s">
        <v>353</v>
      </c>
      <c r="R25" s="33" t="s">
        <v>354</v>
      </c>
      <c r="S25" s="31" t="s">
        <v>140</v>
      </c>
      <c r="T25" s="37"/>
      <c r="U25" s="37"/>
      <c r="V25" s="37"/>
      <c r="W25" s="37"/>
      <c r="X25" s="37"/>
      <c r="Y25" s="37" t="s">
        <v>106</v>
      </c>
      <c r="Z25" s="32" t="s">
        <v>107</v>
      </c>
      <c r="AA25" s="32" t="s">
        <v>108</v>
      </c>
      <c r="AB25" s="37" t="s">
        <v>106</v>
      </c>
      <c r="AC25" s="37" t="s">
        <v>106</v>
      </c>
      <c r="AD25" s="37" t="s">
        <v>106</v>
      </c>
      <c r="AE25" s="37" t="s">
        <v>106</v>
      </c>
      <c r="AF25" s="37" t="s">
        <v>106</v>
      </c>
      <c r="AG25" s="37" t="s">
        <v>106</v>
      </c>
      <c r="AH25" s="32" t="s">
        <v>106</v>
      </c>
      <c r="AI25" s="31" t="s">
        <v>109</v>
      </c>
      <c r="AJ25" s="31" t="s">
        <v>142</v>
      </c>
      <c r="AK25" s="32" t="s">
        <v>111</v>
      </c>
      <c r="AL25" s="32" t="s">
        <v>112</v>
      </c>
      <c r="AM25" s="32" t="s">
        <v>111</v>
      </c>
      <c r="AN25" s="32" t="s">
        <v>114</v>
      </c>
      <c r="AO25" s="32" t="s">
        <v>114</v>
      </c>
      <c r="AP25" s="32" t="s">
        <v>114</v>
      </c>
      <c r="AQ25" s="32" t="s">
        <v>114</v>
      </c>
      <c r="AR25" s="32" t="s">
        <v>115</v>
      </c>
      <c r="AS25" s="32" t="s">
        <v>114</v>
      </c>
      <c r="AT25" s="32" t="s">
        <v>114</v>
      </c>
      <c r="AU25" s="32" t="s">
        <v>114</v>
      </c>
      <c r="AV25" s="38" t="s">
        <v>116</v>
      </c>
      <c r="AW25" s="36" t="s">
        <v>355</v>
      </c>
      <c r="AX25" s="36" t="s">
        <v>112</v>
      </c>
      <c r="AY25" s="32"/>
      <c r="AZ25" s="32"/>
      <c r="BA25" s="32" t="s">
        <v>145</v>
      </c>
      <c r="BB25" s="32"/>
      <c r="BC25" s="32" t="s">
        <v>356</v>
      </c>
      <c r="BD25" s="32" t="s">
        <v>162</v>
      </c>
      <c r="BE25" s="32">
        <v>1</v>
      </c>
      <c r="BF25" s="39" t="s">
        <v>357</v>
      </c>
      <c r="BG25" s="32" t="s">
        <v>148</v>
      </c>
      <c r="BH25" s="36" t="s">
        <v>124</v>
      </c>
      <c r="BI25" s="36" t="s">
        <v>125</v>
      </c>
      <c r="BJ25" s="36" t="s">
        <v>126</v>
      </c>
      <c r="BK25" s="36" t="s">
        <v>127</v>
      </c>
      <c r="BL25" s="36" t="s">
        <v>128</v>
      </c>
      <c r="BM25" s="36" t="s">
        <v>129</v>
      </c>
      <c r="BN25" s="36" t="s">
        <v>358</v>
      </c>
      <c r="BO25" s="36" t="s">
        <v>359</v>
      </c>
      <c r="BP25" s="37"/>
      <c r="BQ25" s="32" t="s">
        <v>106</v>
      </c>
      <c r="BR25" s="32"/>
      <c r="BS25" s="32" t="s">
        <v>106</v>
      </c>
      <c r="BT25" s="32"/>
      <c r="BU25" s="32"/>
      <c r="BV25" s="32"/>
      <c r="BW25" s="36" t="s">
        <v>192</v>
      </c>
      <c r="BX25" s="39" t="s">
        <v>193</v>
      </c>
      <c r="BY25" s="39" t="s">
        <v>194</v>
      </c>
    </row>
    <row r="26" spans="1:77" s="84" customFormat="1" ht="21.95" customHeight="1">
      <c r="A26" s="80">
        <v>1</v>
      </c>
      <c r="B26" s="76" t="s">
        <v>92</v>
      </c>
      <c r="C26" s="30" t="s">
        <v>132</v>
      </c>
      <c r="D26" s="31" t="s">
        <v>360</v>
      </c>
      <c r="E26" s="31" t="s">
        <v>361</v>
      </c>
      <c r="F26" s="32" t="s">
        <v>362</v>
      </c>
      <c r="G26" s="32" t="s">
        <v>363</v>
      </c>
      <c r="H26" s="32" t="s">
        <v>182</v>
      </c>
      <c r="I26" s="33" t="s">
        <v>364</v>
      </c>
      <c r="J26" s="34" t="s">
        <v>100</v>
      </c>
      <c r="K26" s="34" t="s">
        <v>100</v>
      </c>
      <c r="L26" s="34" t="s">
        <v>100</v>
      </c>
      <c r="M26" s="34" t="s">
        <v>100</v>
      </c>
      <c r="N26" s="34" t="s">
        <v>100</v>
      </c>
      <c r="O26" s="35" t="s">
        <v>101</v>
      </c>
      <c r="P26" s="33" t="s">
        <v>365</v>
      </c>
      <c r="Q26" s="36" t="s">
        <v>366</v>
      </c>
      <c r="R26" s="33" t="s">
        <v>367</v>
      </c>
      <c r="S26" s="31" t="s">
        <v>140</v>
      </c>
      <c r="T26" s="37"/>
      <c r="U26" s="37"/>
      <c r="V26" s="37"/>
      <c r="W26" s="37"/>
      <c r="X26" s="37"/>
      <c r="Y26" s="37" t="s">
        <v>106</v>
      </c>
      <c r="Z26" s="32" t="s">
        <v>141</v>
      </c>
      <c r="AA26" s="32" t="s">
        <v>108</v>
      </c>
      <c r="AB26" s="37" t="s">
        <v>106</v>
      </c>
      <c r="AC26" s="37" t="s">
        <v>106</v>
      </c>
      <c r="AD26" s="37" t="s">
        <v>106</v>
      </c>
      <c r="AE26" s="37" t="s">
        <v>106</v>
      </c>
      <c r="AF26" s="37" t="s">
        <v>106</v>
      </c>
      <c r="AG26" s="37" t="s">
        <v>106</v>
      </c>
      <c r="AH26" s="32" t="s">
        <v>106</v>
      </c>
      <c r="AI26" s="31" t="s">
        <v>109</v>
      </c>
      <c r="AJ26" s="31" t="s">
        <v>142</v>
      </c>
      <c r="AK26" s="32" t="s">
        <v>111</v>
      </c>
      <c r="AL26" s="32" t="s">
        <v>260</v>
      </c>
      <c r="AM26" s="32" t="s">
        <v>111</v>
      </c>
      <c r="AN26" s="32" t="s">
        <v>115</v>
      </c>
      <c r="AO26" s="32" t="s">
        <v>115</v>
      </c>
      <c r="AP26" s="32" t="s">
        <v>114</v>
      </c>
      <c r="AQ26" s="32" t="s">
        <v>114</v>
      </c>
      <c r="AR26" s="32" t="s">
        <v>114</v>
      </c>
      <c r="AS26" s="32" t="s">
        <v>114</v>
      </c>
      <c r="AT26" s="32" t="s">
        <v>114</v>
      </c>
      <c r="AU26" s="32" t="s">
        <v>114</v>
      </c>
      <c r="AV26" s="38" t="s">
        <v>116</v>
      </c>
      <c r="AW26" s="36" t="s">
        <v>368</v>
      </c>
      <c r="AX26" s="36" t="s">
        <v>112</v>
      </c>
      <c r="AY26" s="32"/>
      <c r="AZ26" s="32"/>
      <c r="BA26" s="32" t="s">
        <v>145</v>
      </c>
      <c r="BB26" s="32"/>
      <c r="BC26" s="32" t="s">
        <v>369</v>
      </c>
      <c r="BD26" s="32" t="s">
        <v>162</v>
      </c>
      <c r="BE26" s="32">
        <v>1</v>
      </c>
      <c r="BF26" s="39" t="s">
        <v>370</v>
      </c>
      <c r="BG26" s="32" t="s">
        <v>148</v>
      </c>
      <c r="BH26" s="36" t="s">
        <v>124</v>
      </c>
      <c r="BI26" s="36" t="s">
        <v>125</v>
      </c>
      <c r="BJ26" s="36" t="s">
        <v>126</v>
      </c>
      <c r="BK26" s="36" t="s">
        <v>127</v>
      </c>
      <c r="BL26" s="36" t="s">
        <v>128</v>
      </c>
      <c r="BM26" s="36" t="s">
        <v>129</v>
      </c>
      <c r="BN26" s="36" t="s">
        <v>371</v>
      </c>
      <c r="BO26" s="36" t="s">
        <v>372</v>
      </c>
      <c r="BP26" s="37"/>
      <c r="BQ26" s="32" t="s">
        <v>106</v>
      </c>
      <c r="BR26" s="32"/>
      <c r="BS26" s="32" t="s">
        <v>106</v>
      </c>
      <c r="BT26" s="32"/>
      <c r="BU26" s="32"/>
      <c r="BV26" s="32"/>
      <c r="BW26" s="36" t="s">
        <v>192</v>
      </c>
      <c r="BX26" s="39" t="s">
        <v>193</v>
      </c>
      <c r="BY26" s="39" t="s">
        <v>194</v>
      </c>
    </row>
    <row r="27" spans="1:77" s="84" customFormat="1" ht="21.95" customHeight="1">
      <c r="A27" s="80">
        <v>1</v>
      </c>
      <c r="B27" s="76" t="s">
        <v>92</v>
      </c>
      <c r="C27" s="30" t="s">
        <v>132</v>
      </c>
      <c r="D27" s="31" t="s">
        <v>360</v>
      </c>
      <c r="E27" s="31" t="s">
        <v>361</v>
      </c>
      <c r="F27" s="32" t="s">
        <v>373</v>
      </c>
      <c r="G27" s="32" t="s">
        <v>374</v>
      </c>
      <c r="H27" s="32" t="s">
        <v>300</v>
      </c>
      <c r="I27" s="33" t="s">
        <v>375</v>
      </c>
      <c r="J27" s="34" t="s">
        <v>100</v>
      </c>
      <c r="K27" s="34" t="s">
        <v>100</v>
      </c>
      <c r="L27" s="34" t="s">
        <v>100</v>
      </c>
      <c r="M27" s="34" t="s">
        <v>100</v>
      </c>
      <c r="N27" s="34" t="s">
        <v>100</v>
      </c>
      <c r="O27" s="35" t="s">
        <v>101</v>
      </c>
      <c r="P27" s="33" t="s">
        <v>376</v>
      </c>
      <c r="Q27" s="36" t="s">
        <v>377</v>
      </c>
      <c r="R27" s="33" t="s">
        <v>378</v>
      </c>
      <c r="S27" s="31" t="s">
        <v>140</v>
      </c>
      <c r="T27" s="37"/>
      <c r="U27" s="37"/>
      <c r="V27" s="37"/>
      <c r="W27" s="37"/>
      <c r="X27" s="37"/>
      <c r="Y27" s="37" t="s">
        <v>106</v>
      </c>
      <c r="Z27" s="32" t="s">
        <v>141</v>
      </c>
      <c r="AA27" s="32" t="s">
        <v>108</v>
      </c>
      <c r="AB27" s="37" t="s">
        <v>106</v>
      </c>
      <c r="AC27" s="37" t="s">
        <v>106</v>
      </c>
      <c r="AD27" s="37" t="s">
        <v>106</v>
      </c>
      <c r="AE27" s="37" t="s">
        <v>106</v>
      </c>
      <c r="AF27" s="37" t="s">
        <v>106</v>
      </c>
      <c r="AG27" s="37" t="s">
        <v>106</v>
      </c>
      <c r="AH27" s="32" t="s">
        <v>106</v>
      </c>
      <c r="AI27" s="31" t="s">
        <v>109</v>
      </c>
      <c r="AJ27" s="31" t="s">
        <v>142</v>
      </c>
      <c r="AK27" s="32" t="s">
        <v>111</v>
      </c>
      <c r="AL27" s="32" t="s">
        <v>112</v>
      </c>
      <c r="AM27" s="32" t="s">
        <v>111</v>
      </c>
      <c r="AN27" s="32" t="s">
        <v>114</v>
      </c>
      <c r="AO27" s="32" t="s">
        <v>114</v>
      </c>
      <c r="AP27" s="32" t="s">
        <v>114</v>
      </c>
      <c r="AQ27" s="32" t="s">
        <v>114</v>
      </c>
      <c r="AR27" s="32" t="s">
        <v>114</v>
      </c>
      <c r="AS27" s="32" t="s">
        <v>114</v>
      </c>
      <c r="AT27" s="32" t="s">
        <v>114</v>
      </c>
      <c r="AU27" s="32" t="s">
        <v>114</v>
      </c>
      <c r="AV27" s="38" t="s">
        <v>116</v>
      </c>
      <c r="AW27" s="36" t="s">
        <v>1495</v>
      </c>
      <c r="AX27" s="36" t="s">
        <v>112</v>
      </c>
      <c r="AY27" s="32"/>
      <c r="AZ27" s="32"/>
      <c r="BA27" s="32" t="s">
        <v>145</v>
      </c>
      <c r="BB27" s="32"/>
      <c r="BC27" s="32" t="s">
        <v>379</v>
      </c>
      <c r="BD27" s="32" t="s">
        <v>121</v>
      </c>
      <c r="BE27" s="32">
        <v>1</v>
      </c>
      <c r="BF27" s="39" t="s">
        <v>380</v>
      </c>
      <c r="BG27" s="32" t="s">
        <v>148</v>
      </c>
      <c r="BH27" s="36" t="s">
        <v>124</v>
      </c>
      <c r="BI27" s="36" t="s">
        <v>125</v>
      </c>
      <c r="BJ27" s="36" t="s">
        <v>126</v>
      </c>
      <c r="BK27" s="36" t="s">
        <v>127</v>
      </c>
      <c r="BL27" s="36" t="s">
        <v>128</v>
      </c>
      <c r="BM27" s="36" t="s">
        <v>129</v>
      </c>
      <c r="BN27" s="36" t="s">
        <v>381</v>
      </c>
      <c r="BO27" s="36" t="s">
        <v>382</v>
      </c>
      <c r="BP27" s="37"/>
      <c r="BQ27" s="32" t="s">
        <v>106</v>
      </c>
      <c r="BR27" s="32"/>
      <c r="BS27" s="32" t="s">
        <v>106</v>
      </c>
      <c r="BT27" s="32"/>
      <c r="BU27" s="32"/>
      <c r="BV27" s="32"/>
      <c r="BW27" s="36" t="s">
        <v>192</v>
      </c>
      <c r="BX27" s="39" t="s">
        <v>193</v>
      </c>
      <c r="BY27" s="39" t="s">
        <v>194</v>
      </c>
    </row>
    <row r="28" spans="1:77" s="84" customFormat="1" ht="21.95" customHeight="1">
      <c r="A28" s="80">
        <v>1</v>
      </c>
      <c r="B28" s="76" t="s">
        <v>92</v>
      </c>
      <c r="C28" s="30" t="s">
        <v>132</v>
      </c>
      <c r="D28" s="31" t="s">
        <v>383</v>
      </c>
      <c r="E28" s="31" t="s">
        <v>361</v>
      </c>
      <c r="F28" s="32" t="s">
        <v>384</v>
      </c>
      <c r="G28" s="32" t="s">
        <v>385</v>
      </c>
      <c r="H28" s="32" t="s">
        <v>419</v>
      </c>
      <c r="I28" s="33" t="s">
        <v>386</v>
      </c>
      <c r="J28" s="34" t="s">
        <v>100</v>
      </c>
      <c r="K28" s="34" t="s">
        <v>100</v>
      </c>
      <c r="L28" s="34" t="s">
        <v>100</v>
      </c>
      <c r="M28" s="34" t="s">
        <v>100</v>
      </c>
      <c r="N28" s="34" t="s">
        <v>100</v>
      </c>
      <c r="O28" s="35" t="s">
        <v>101</v>
      </c>
      <c r="P28" s="33" t="s">
        <v>387</v>
      </c>
      <c r="Q28" s="36" t="s">
        <v>388</v>
      </c>
      <c r="R28" s="33" t="s">
        <v>389</v>
      </c>
      <c r="S28" s="31" t="s">
        <v>140</v>
      </c>
      <c r="T28" s="37"/>
      <c r="U28" s="37"/>
      <c r="V28" s="37"/>
      <c r="W28" s="37"/>
      <c r="X28" s="37"/>
      <c r="Y28" s="37" t="s">
        <v>106</v>
      </c>
      <c r="Z28" s="32" t="s">
        <v>141</v>
      </c>
      <c r="AA28" s="32" t="s">
        <v>108</v>
      </c>
      <c r="AB28" s="37" t="s">
        <v>106</v>
      </c>
      <c r="AC28" s="37" t="s">
        <v>106</v>
      </c>
      <c r="AD28" s="37" t="s">
        <v>106</v>
      </c>
      <c r="AE28" s="37" t="s">
        <v>106</v>
      </c>
      <c r="AF28" s="37" t="s">
        <v>106</v>
      </c>
      <c r="AG28" s="37" t="s">
        <v>106</v>
      </c>
      <c r="AH28" s="32" t="s">
        <v>106</v>
      </c>
      <c r="AI28" s="31" t="s">
        <v>109</v>
      </c>
      <c r="AJ28" s="31" t="s">
        <v>142</v>
      </c>
      <c r="AK28" s="32" t="s">
        <v>111</v>
      </c>
      <c r="AL28" s="32" t="s">
        <v>112</v>
      </c>
      <c r="AM28" s="32" t="s">
        <v>111</v>
      </c>
      <c r="AN28" s="32" t="s">
        <v>114</v>
      </c>
      <c r="AO28" s="32" t="s">
        <v>114</v>
      </c>
      <c r="AP28" s="32" t="s">
        <v>114</v>
      </c>
      <c r="AQ28" s="32" t="s">
        <v>114</v>
      </c>
      <c r="AR28" s="32" t="s">
        <v>114</v>
      </c>
      <c r="AS28" s="32" t="s">
        <v>114</v>
      </c>
      <c r="AT28" s="32" t="s">
        <v>114</v>
      </c>
      <c r="AU28" s="32" t="s">
        <v>114</v>
      </c>
      <c r="AV28" s="38" t="s">
        <v>116</v>
      </c>
      <c r="AW28" s="36" t="s">
        <v>390</v>
      </c>
      <c r="AX28" s="36" t="s">
        <v>112</v>
      </c>
      <c r="AY28" s="32"/>
      <c r="AZ28" s="32"/>
      <c r="BA28" s="32" t="s">
        <v>145</v>
      </c>
      <c r="BB28" s="32"/>
      <c r="BC28" s="32" t="s">
        <v>391</v>
      </c>
      <c r="BD28" s="32" t="s">
        <v>162</v>
      </c>
      <c r="BE28" s="32">
        <v>1</v>
      </c>
      <c r="BF28" s="39" t="s">
        <v>392</v>
      </c>
      <c r="BG28" s="32" t="s">
        <v>148</v>
      </c>
      <c r="BH28" s="36" t="s">
        <v>124</v>
      </c>
      <c r="BI28" s="36" t="s">
        <v>125</v>
      </c>
      <c r="BJ28" s="36" t="s">
        <v>126</v>
      </c>
      <c r="BK28" s="36" t="s">
        <v>127</v>
      </c>
      <c r="BL28" s="36" t="s">
        <v>128</v>
      </c>
      <c r="BM28" s="36" t="s">
        <v>129</v>
      </c>
      <c r="BN28" s="36" t="s">
        <v>393</v>
      </c>
      <c r="BO28" s="36" t="s">
        <v>394</v>
      </c>
      <c r="BP28" s="37"/>
      <c r="BQ28" s="32" t="s">
        <v>106</v>
      </c>
      <c r="BR28" s="32"/>
      <c r="BS28" s="32" t="s">
        <v>106</v>
      </c>
      <c r="BT28" s="32"/>
      <c r="BU28" s="32"/>
      <c r="BV28" s="32"/>
      <c r="BW28" s="36" t="s">
        <v>192</v>
      </c>
      <c r="BX28" s="39" t="s">
        <v>193</v>
      </c>
      <c r="BY28" s="39" t="s">
        <v>194</v>
      </c>
    </row>
    <row r="29" spans="1:77" s="84" customFormat="1" ht="21.95" customHeight="1">
      <c r="A29" s="80">
        <v>1</v>
      </c>
      <c r="B29" s="76" t="s">
        <v>92</v>
      </c>
      <c r="C29" s="30" t="s">
        <v>132</v>
      </c>
      <c r="D29" s="31" t="s">
        <v>360</v>
      </c>
      <c r="E29" s="31" t="s">
        <v>361</v>
      </c>
      <c r="F29" s="32" t="s">
        <v>395</v>
      </c>
      <c r="G29" s="32" t="s">
        <v>396</v>
      </c>
      <c r="H29" s="32" t="s">
        <v>300</v>
      </c>
      <c r="I29" s="33" t="s">
        <v>397</v>
      </c>
      <c r="J29" s="34" t="s">
        <v>100</v>
      </c>
      <c r="K29" s="34" t="s">
        <v>100</v>
      </c>
      <c r="L29" s="34" t="s">
        <v>100</v>
      </c>
      <c r="M29" s="34" t="s">
        <v>100</v>
      </c>
      <c r="N29" s="34" t="s">
        <v>100</v>
      </c>
      <c r="O29" s="35" t="s">
        <v>101</v>
      </c>
      <c r="P29" s="33" t="s">
        <v>398</v>
      </c>
      <c r="Q29" s="36" t="s">
        <v>399</v>
      </c>
      <c r="R29" s="33" t="s">
        <v>400</v>
      </c>
      <c r="S29" s="31" t="s">
        <v>140</v>
      </c>
      <c r="T29" s="37"/>
      <c r="U29" s="37"/>
      <c r="V29" s="37"/>
      <c r="W29" s="37"/>
      <c r="X29" s="37"/>
      <c r="Y29" s="37" t="s">
        <v>106</v>
      </c>
      <c r="Z29" s="32" t="s">
        <v>141</v>
      </c>
      <c r="AA29" s="32" t="s">
        <v>108</v>
      </c>
      <c r="AB29" s="37" t="s">
        <v>106</v>
      </c>
      <c r="AC29" s="37" t="s">
        <v>106</v>
      </c>
      <c r="AD29" s="37" t="s">
        <v>106</v>
      </c>
      <c r="AE29" s="37" t="s">
        <v>106</v>
      </c>
      <c r="AF29" s="37" t="s">
        <v>106</v>
      </c>
      <c r="AG29" s="37" t="s">
        <v>106</v>
      </c>
      <c r="AH29" s="32" t="s">
        <v>106</v>
      </c>
      <c r="AI29" s="31" t="s">
        <v>109</v>
      </c>
      <c r="AJ29" s="31" t="s">
        <v>142</v>
      </c>
      <c r="AK29" s="32" t="s">
        <v>111</v>
      </c>
      <c r="AL29" s="32" t="s">
        <v>260</v>
      </c>
      <c r="AM29" s="32" t="s">
        <v>111</v>
      </c>
      <c r="AN29" s="32" t="s">
        <v>114</v>
      </c>
      <c r="AO29" s="32" t="s">
        <v>114</v>
      </c>
      <c r="AP29" s="32" t="s">
        <v>114</v>
      </c>
      <c r="AQ29" s="32" t="s">
        <v>114</v>
      </c>
      <c r="AR29" s="32" t="s">
        <v>114</v>
      </c>
      <c r="AS29" s="32" t="s">
        <v>114</v>
      </c>
      <c r="AT29" s="32" t="s">
        <v>114</v>
      </c>
      <c r="AU29" s="32" t="s">
        <v>114</v>
      </c>
      <c r="AV29" s="38" t="s">
        <v>116</v>
      </c>
      <c r="AW29" s="36" t="s">
        <v>401</v>
      </c>
      <c r="AX29" s="36" t="s">
        <v>112</v>
      </c>
      <c r="AY29" s="32"/>
      <c r="AZ29" s="32"/>
      <c r="BA29" s="32" t="s">
        <v>145</v>
      </c>
      <c r="BB29" s="32"/>
      <c r="BC29" s="32" t="s">
        <v>402</v>
      </c>
      <c r="BD29" s="32" t="s">
        <v>162</v>
      </c>
      <c r="BE29" s="32">
        <v>1</v>
      </c>
      <c r="BF29" s="39" t="s">
        <v>403</v>
      </c>
      <c r="BG29" s="32" t="s">
        <v>148</v>
      </c>
      <c r="BH29" s="36" t="s">
        <v>124</v>
      </c>
      <c r="BI29" s="36" t="s">
        <v>125</v>
      </c>
      <c r="BJ29" s="36" t="s">
        <v>126</v>
      </c>
      <c r="BK29" s="36" t="s">
        <v>127</v>
      </c>
      <c r="BL29" s="36" t="s">
        <v>128</v>
      </c>
      <c r="BM29" s="36" t="s">
        <v>129</v>
      </c>
      <c r="BN29" s="36" t="s">
        <v>404</v>
      </c>
      <c r="BO29" s="36" t="s">
        <v>405</v>
      </c>
      <c r="BP29" s="37"/>
      <c r="BQ29" s="32" t="s">
        <v>106</v>
      </c>
      <c r="BR29" s="32"/>
      <c r="BS29" s="32" t="s">
        <v>106</v>
      </c>
      <c r="BT29" s="32"/>
      <c r="BU29" s="32"/>
      <c r="BV29" s="32"/>
      <c r="BW29" s="36" t="s">
        <v>192</v>
      </c>
      <c r="BX29" s="39" t="s">
        <v>193</v>
      </c>
      <c r="BY29" s="39" t="s">
        <v>194</v>
      </c>
    </row>
    <row r="30" spans="1:77" s="84" customFormat="1" ht="21.95" customHeight="1">
      <c r="A30" s="80">
        <v>1</v>
      </c>
      <c r="B30" s="76" t="s">
        <v>92</v>
      </c>
      <c r="C30" s="30" t="s">
        <v>132</v>
      </c>
      <c r="D30" s="31" t="s">
        <v>360</v>
      </c>
      <c r="E30" s="31" t="s">
        <v>361</v>
      </c>
      <c r="F30" s="32" t="s">
        <v>406</v>
      </c>
      <c r="G30" s="32" t="s">
        <v>407</v>
      </c>
      <c r="H30" s="32" t="s">
        <v>182</v>
      </c>
      <c r="I30" s="33" t="s">
        <v>408</v>
      </c>
      <c r="J30" s="34" t="s">
        <v>100</v>
      </c>
      <c r="K30" s="34" t="s">
        <v>100</v>
      </c>
      <c r="L30" s="34" t="s">
        <v>100</v>
      </c>
      <c r="M30" s="34" t="s">
        <v>100</v>
      </c>
      <c r="N30" s="34" t="s">
        <v>100</v>
      </c>
      <c r="O30" s="35" t="s">
        <v>101</v>
      </c>
      <c r="P30" s="33" t="s">
        <v>409</v>
      </c>
      <c r="Q30" s="36" t="s">
        <v>410</v>
      </c>
      <c r="R30" s="33" t="s">
        <v>411</v>
      </c>
      <c r="S30" s="31" t="s">
        <v>140</v>
      </c>
      <c r="T30" s="37"/>
      <c r="U30" s="37"/>
      <c r="V30" s="37"/>
      <c r="W30" s="37"/>
      <c r="X30" s="37"/>
      <c r="Y30" s="37" t="s">
        <v>106</v>
      </c>
      <c r="Z30" s="32" t="s">
        <v>107</v>
      </c>
      <c r="AA30" s="32" t="s">
        <v>108</v>
      </c>
      <c r="AB30" s="37" t="s">
        <v>106</v>
      </c>
      <c r="AC30" s="37" t="s">
        <v>106</v>
      </c>
      <c r="AD30" s="37" t="s">
        <v>106</v>
      </c>
      <c r="AE30" s="37" t="s">
        <v>106</v>
      </c>
      <c r="AF30" s="37" t="s">
        <v>106</v>
      </c>
      <c r="AG30" s="37" t="s">
        <v>106</v>
      </c>
      <c r="AH30" s="32" t="s">
        <v>106</v>
      </c>
      <c r="AI30" s="31" t="s">
        <v>109</v>
      </c>
      <c r="AJ30" s="31" t="s">
        <v>142</v>
      </c>
      <c r="AK30" s="32" t="s">
        <v>111</v>
      </c>
      <c r="AL30" s="32" t="s">
        <v>112</v>
      </c>
      <c r="AM30" s="32" t="s">
        <v>111</v>
      </c>
      <c r="AN30" s="32" t="s">
        <v>114</v>
      </c>
      <c r="AO30" s="32" t="s">
        <v>114</v>
      </c>
      <c r="AP30" s="32" t="s">
        <v>114</v>
      </c>
      <c r="AQ30" s="32" t="s">
        <v>114</v>
      </c>
      <c r="AR30" s="32" t="s">
        <v>115</v>
      </c>
      <c r="AS30" s="32" t="s">
        <v>115</v>
      </c>
      <c r="AT30" s="32" t="s">
        <v>114</v>
      </c>
      <c r="AU30" s="32" t="s">
        <v>115</v>
      </c>
      <c r="AV30" s="38" t="s">
        <v>116</v>
      </c>
      <c r="AW30" s="36" t="s">
        <v>412</v>
      </c>
      <c r="AX30" s="36" t="s">
        <v>112</v>
      </c>
      <c r="AY30" s="32"/>
      <c r="AZ30" s="32"/>
      <c r="BA30" s="32" t="s">
        <v>145</v>
      </c>
      <c r="BB30" s="32"/>
      <c r="BC30" s="32" t="s">
        <v>413</v>
      </c>
      <c r="BD30" s="32" t="s">
        <v>162</v>
      </c>
      <c r="BE30" s="32">
        <v>1</v>
      </c>
      <c r="BF30" s="39" t="s">
        <v>414</v>
      </c>
      <c r="BG30" s="32" t="s">
        <v>148</v>
      </c>
      <c r="BH30" s="36" t="s">
        <v>124</v>
      </c>
      <c r="BI30" s="36" t="s">
        <v>125</v>
      </c>
      <c r="BJ30" s="36" t="s">
        <v>126</v>
      </c>
      <c r="BK30" s="36" t="s">
        <v>127</v>
      </c>
      <c r="BL30" s="36" t="s">
        <v>128</v>
      </c>
      <c r="BM30" s="36" t="s">
        <v>129</v>
      </c>
      <c r="BN30" s="36" t="s">
        <v>415</v>
      </c>
      <c r="BO30" s="36" t="s">
        <v>416</v>
      </c>
      <c r="BP30" s="37"/>
      <c r="BQ30" s="32" t="s">
        <v>106</v>
      </c>
      <c r="BR30" s="32"/>
      <c r="BS30" s="32" t="s">
        <v>106</v>
      </c>
      <c r="BT30" s="32"/>
      <c r="BU30" s="32"/>
      <c r="BV30" s="32"/>
      <c r="BW30" s="36" t="s">
        <v>192</v>
      </c>
      <c r="BX30" s="39" t="s">
        <v>193</v>
      </c>
      <c r="BY30" s="39" t="s">
        <v>194</v>
      </c>
    </row>
    <row r="31" spans="1:77" s="84" customFormat="1" ht="21.95" customHeight="1">
      <c r="A31" s="80">
        <v>1</v>
      </c>
      <c r="B31" s="76" t="s">
        <v>92</v>
      </c>
      <c r="C31" s="30" t="s">
        <v>132</v>
      </c>
      <c r="D31" s="31" t="s">
        <v>360</v>
      </c>
      <c r="E31" s="31" t="s">
        <v>361</v>
      </c>
      <c r="F31" s="32" t="s">
        <v>417</v>
      </c>
      <c r="G31" s="32" t="s">
        <v>418</v>
      </c>
      <c r="H31" s="32" t="s">
        <v>419</v>
      </c>
      <c r="I31" s="33" t="s">
        <v>420</v>
      </c>
      <c r="J31" s="34" t="s">
        <v>100</v>
      </c>
      <c r="K31" s="34" t="s">
        <v>100</v>
      </c>
      <c r="L31" s="34" t="s">
        <v>100</v>
      </c>
      <c r="M31" s="34" t="s">
        <v>100</v>
      </c>
      <c r="N31" s="34" t="s">
        <v>100</v>
      </c>
      <c r="O31" s="35" t="s">
        <v>101</v>
      </c>
      <c r="P31" s="33" t="s">
        <v>421</v>
      </c>
      <c r="Q31" s="36" t="s">
        <v>422</v>
      </c>
      <c r="R31" s="33" t="s">
        <v>423</v>
      </c>
      <c r="S31" s="31" t="s">
        <v>140</v>
      </c>
      <c r="T31" s="37"/>
      <c r="U31" s="37"/>
      <c r="V31" s="37"/>
      <c r="W31" s="37"/>
      <c r="X31" s="37"/>
      <c r="Y31" s="37" t="s">
        <v>106</v>
      </c>
      <c r="Z31" s="32" t="s">
        <v>141</v>
      </c>
      <c r="AA31" s="32" t="s">
        <v>108</v>
      </c>
      <c r="AB31" s="37" t="s">
        <v>106</v>
      </c>
      <c r="AC31" s="37" t="s">
        <v>106</v>
      </c>
      <c r="AD31" s="37" t="s">
        <v>106</v>
      </c>
      <c r="AE31" s="37" t="s">
        <v>106</v>
      </c>
      <c r="AF31" s="37" t="s">
        <v>106</v>
      </c>
      <c r="AG31" s="37" t="s">
        <v>106</v>
      </c>
      <c r="AH31" s="32" t="s">
        <v>106</v>
      </c>
      <c r="AI31" s="31" t="s">
        <v>109</v>
      </c>
      <c r="AJ31" s="31" t="s">
        <v>142</v>
      </c>
      <c r="AK31" s="32" t="s">
        <v>111</v>
      </c>
      <c r="AL31" s="32" t="s">
        <v>112</v>
      </c>
      <c r="AM31" s="32" t="s">
        <v>111</v>
      </c>
      <c r="AN31" s="32" t="s">
        <v>114</v>
      </c>
      <c r="AO31" s="32" t="s">
        <v>114</v>
      </c>
      <c r="AP31" s="32" t="s">
        <v>114</v>
      </c>
      <c r="AQ31" s="32" t="s">
        <v>114</v>
      </c>
      <c r="AR31" s="32" t="s">
        <v>114</v>
      </c>
      <c r="AS31" s="32" t="s">
        <v>114</v>
      </c>
      <c r="AT31" s="32" t="s">
        <v>114</v>
      </c>
      <c r="AU31" s="32" t="s">
        <v>114</v>
      </c>
      <c r="AV31" s="38" t="s">
        <v>116</v>
      </c>
      <c r="AW31" s="36" t="s">
        <v>424</v>
      </c>
      <c r="AX31" s="36" t="s">
        <v>112</v>
      </c>
      <c r="AY31" s="32"/>
      <c r="AZ31" s="32"/>
      <c r="BA31" s="32" t="s">
        <v>145</v>
      </c>
      <c r="BB31" s="32"/>
      <c r="BC31" s="32" t="s">
        <v>112</v>
      </c>
      <c r="BD31" s="32" t="s">
        <v>162</v>
      </c>
      <c r="BE31" s="32">
        <v>1</v>
      </c>
      <c r="BF31" s="39" t="s">
        <v>425</v>
      </c>
      <c r="BG31" s="32" t="s">
        <v>264</v>
      </c>
      <c r="BH31" s="36" t="s">
        <v>124</v>
      </c>
      <c r="BI31" s="36" t="s">
        <v>125</v>
      </c>
      <c r="BJ31" s="36" t="s">
        <v>126</v>
      </c>
      <c r="BK31" s="36" t="s">
        <v>127</v>
      </c>
      <c r="BL31" s="36" t="s">
        <v>128</v>
      </c>
      <c r="BM31" s="36" t="s">
        <v>129</v>
      </c>
      <c r="BN31" s="36" t="s">
        <v>426</v>
      </c>
      <c r="BO31" s="36" t="s">
        <v>427</v>
      </c>
      <c r="BP31" s="37"/>
      <c r="BQ31" s="32" t="s">
        <v>106</v>
      </c>
      <c r="BR31" s="32"/>
      <c r="BS31" s="32" t="s">
        <v>106</v>
      </c>
      <c r="BT31" s="32"/>
      <c r="BU31" s="32"/>
      <c r="BV31" s="32"/>
      <c r="BW31" s="36" t="s">
        <v>192</v>
      </c>
      <c r="BX31" s="39" t="s">
        <v>193</v>
      </c>
      <c r="BY31" s="39" t="s">
        <v>194</v>
      </c>
    </row>
    <row r="32" spans="1:77" s="84" customFormat="1" ht="21.95" customHeight="1">
      <c r="A32" s="80">
        <v>1</v>
      </c>
      <c r="B32" s="76" t="s">
        <v>92</v>
      </c>
      <c r="C32" s="30" t="s">
        <v>132</v>
      </c>
      <c r="D32" s="31" t="s">
        <v>360</v>
      </c>
      <c r="E32" s="31" t="s">
        <v>361</v>
      </c>
      <c r="F32" s="32" t="s">
        <v>428</v>
      </c>
      <c r="G32" s="32" t="s">
        <v>429</v>
      </c>
      <c r="H32" s="32" t="s">
        <v>300</v>
      </c>
      <c r="I32" s="33" t="s">
        <v>430</v>
      </c>
      <c r="J32" s="34" t="s">
        <v>100</v>
      </c>
      <c r="K32" s="34" t="s">
        <v>100</v>
      </c>
      <c r="L32" s="34" t="s">
        <v>100</v>
      </c>
      <c r="M32" s="34" t="s">
        <v>100</v>
      </c>
      <c r="N32" s="34" t="s">
        <v>100</v>
      </c>
      <c r="O32" s="35" t="s">
        <v>101</v>
      </c>
      <c r="P32" s="33" t="s">
        <v>431</v>
      </c>
      <c r="Q32" s="36" t="s">
        <v>432</v>
      </c>
      <c r="R32" s="33" t="s">
        <v>433</v>
      </c>
      <c r="S32" s="31" t="s">
        <v>140</v>
      </c>
      <c r="T32" s="37"/>
      <c r="U32" s="37"/>
      <c r="V32" s="37"/>
      <c r="W32" s="37"/>
      <c r="X32" s="37"/>
      <c r="Y32" s="37" t="s">
        <v>106</v>
      </c>
      <c r="Z32" s="32" t="s">
        <v>141</v>
      </c>
      <c r="AA32" s="32" t="s">
        <v>108</v>
      </c>
      <c r="AB32" s="37" t="s">
        <v>106</v>
      </c>
      <c r="AC32" s="37" t="s">
        <v>106</v>
      </c>
      <c r="AD32" s="37" t="s">
        <v>106</v>
      </c>
      <c r="AE32" s="37" t="s">
        <v>106</v>
      </c>
      <c r="AF32" s="37" t="s">
        <v>106</v>
      </c>
      <c r="AG32" s="37" t="s">
        <v>106</v>
      </c>
      <c r="AH32" s="32" t="s">
        <v>106</v>
      </c>
      <c r="AI32" s="31" t="s">
        <v>109</v>
      </c>
      <c r="AJ32" s="31" t="s">
        <v>142</v>
      </c>
      <c r="AK32" s="32" t="s">
        <v>111</v>
      </c>
      <c r="AL32" s="32" t="s">
        <v>112</v>
      </c>
      <c r="AM32" s="32" t="s">
        <v>111</v>
      </c>
      <c r="AN32" s="32" t="s">
        <v>114</v>
      </c>
      <c r="AO32" s="32" t="s">
        <v>114</v>
      </c>
      <c r="AP32" s="32" t="s">
        <v>114</v>
      </c>
      <c r="AQ32" s="32" t="s">
        <v>114</v>
      </c>
      <c r="AR32" s="32" t="s">
        <v>114</v>
      </c>
      <c r="AS32" s="32" t="s">
        <v>114</v>
      </c>
      <c r="AT32" s="32" t="s">
        <v>114</v>
      </c>
      <c r="AU32" s="32" t="s">
        <v>114</v>
      </c>
      <c r="AV32" s="38" t="s">
        <v>116</v>
      </c>
      <c r="AW32" s="36" t="s">
        <v>434</v>
      </c>
      <c r="AX32" s="36" t="s">
        <v>435</v>
      </c>
      <c r="AY32" s="32"/>
      <c r="AZ32" s="32"/>
      <c r="BA32" s="32" t="s">
        <v>145</v>
      </c>
      <c r="BB32" s="32"/>
      <c r="BC32" s="32" t="s">
        <v>436</v>
      </c>
      <c r="BD32" s="32" t="s">
        <v>162</v>
      </c>
      <c r="BE32" s="32">
        <v>1</v>
      </c>
      <c r="BF32" s="39" t="s">
        <v>437</v>
      </c>
      <c r="BG32" s="32" t="s">
        <v>148</v>
      </c>
      <c r="BH32" s="36" t="s">
        <v>124</v>
      </c>
      <c r="BI32" s="36" t="s">
        <v>125</v>
      </c>
      <c r="BJ32" s="36" t="s">
        <v>126</v>
      </c>
      <c r="BK32" s="36" t="s">
        <v>127</v>
      </c>
      <c r="BL32" s="36" t="s">
        <v>128</v>
      </c>
      <c r="BM32" s="36" t="s">
        <v>129</v>
      </c>
      <c r="BN32" s="36" t="s">
        <v>438</v>
      </c>
      <c r="BO32" s="36" t="s">
        <v>439</v>
      </c>
      <c r="BP32" s="37"/>
      <c r="BQ32" s="32" t="s">
        <v>106</v>
      </c>
      <c r="BR32" s="32"/>
      <c r="BS32" s="32" t="s">
        <v>106</v>
      </c>
      <c r="BT32" s="32"/>
      <c r="BU32" s="32"/>
      <c r="BV32" s="32"/>
      <c r="BW32" s="36" t="s">
        <v>192</v>
      </c>
      <c r="BX32" s="39" t="s">
        <v>193</v>
      </c>
      <c r="BY32" s="39" t="s">
        <v>194</v>
      </c>
    </row>
    <row r="33" spans="1:77" s="84" customFormat="1" ht="21.95" customHeight="1">
      <c r="A33" s="80">
        <v>1</v>
      </c>
      <c r="B33" s="76" t="s">
        <v>92</v>
      </c>
      <c r="C33" s="30" t="s">
        <v>132</v>
      </c>
      <c r="D33" s="31" t="s">
        <v>440</v>
      </c>
      <c r="E33" s="31" t="s">
        <v>441</v>
      </c>
      <c r="F33" s="32" t="s">
        <v>442</v>
      </c>
      <c r="G33" s="32" t="s">
        <v>443</v>
      </c>
      <c r="H33" s="32" t="s">
        <v>182</v>
      </c>
      <c r="I33" s="33" t="s">
        <v>444</v>
      </c>
      <c r="J33" s="34" t="s">
        <v>100</v>
      </c>
      <c r="K33" s="34" t="s">
        <v>100</v>
      </c>
      <c r="L33" s="34" t="s">
        <v>100</v>
      </c>
      <c r="M33" s="34" t="s">
        <v>100</v>
      </c>
      <c r="N33" s="34" t="s">
        <v>100</v>
      </c>
      <c r="O33" s="35" t="s">
        <v>101</v>
      </c>
      <c r="P33" s="33" t="s">
        <v>445</v>
      </c>
      <c r="Q33" s="36" t="s">
        <v>446</v>
      </c>
      <c r="R33" s="33" t="s">
        <v>447</v>
      </c>
      <c r="S33" s="31" t="s">
        <v>140</v>
      </c>
      <c r="T33" s="37"/>
      <c r="U33" s="37"/>
      <c r="V33" s="37"/>
      <c r="W33" s="37"/>
      <c r="X33" s="37"/>
      <c r="Y33" s="37" t="s">
        <v>106</v>
      </c>
      <c r="Z33" s="32" t="s">
        <v>141</v>
      </c>
      <c r="AA33" s="32" t="s">
        <v>108</v>
      </c>
      <c r="AB33" s="37" t="s">
        <v>106</v>
      </c>
      <c r="AC33" s="37" t="s">
        <v>106</v>
      </c>
      <c r="AD33" s="37" t="s">
        <v>106</v>
      </c>
      <c r="AE33" s="37" t="s">
        <v>106</v>
      </c>
      <c r="AF33" s="37" t="s">
        <v>106</v>
      </c>
      <c r="AG33" s="37" t="s">
        <v>106</v>
      </c>
      <c r="AH33" s="32" t="s">
        <v>106</v>
      </c>
      <c r="AI33" s="31" t="s">
        <v>109</v>
      </c>
      <c r="AJ33" s="31" t="s">
        <v>142</v>
      </c>
      <c r="AK33" s="32" t="s">
        <v>111</v>
      </c>
      <c r="AL33" s="32" t="s">
        <v>112</v>
      </c>
      <c r="AM33" s="32" t="s">
        <v>111</v>
      </c>
      <c r="AN33" s="32" t="s">
        <v>114</v>
      </c>
      <c r="AO33" s="32" t="s">
        <v>114</v>
      </c>
      <c r="AP33" s="32" t="s">
        <v>114</v>
      </c>
      <c r="AQ33" s="32" t="s">
        <v>114</v>
      </c>
      <c r="AR33" s="32" t="s">
        <v>114</v>
      </c>
      <c r="AS33" s="32" t="s">
        <v>114</v>
      </c>
      <c r="AT33" s="32" t="s">
        <v>114</v>
      </c>
      <c r="AU33" s="32" t="s">
        <v>114</v>
      </c>
      <c r="AV33" s="38" t="s">
        <v>116</v>
      </c>
      <c r="AW33" s="36" t="s">
        <v>448</v>
      </c>
      <c r="AX33" s="36" t="s">
        <v>112</v>
      </c>
      <c r="AY33" s="32"/>
      <c r="AZ33" s="32"/>
      <c r="BA33" s="32" t="s">
        <v>145</v>
      </c>
      <c r="BB33" s="32"/>
      <c r="BC33" s="32" t="s">
        <v>449</v>
      </c>
      <c r="BD33" s="32" t="s">
        <v>162</v>
      </c>
      <c r="BE33" s="32">
        <v>1</v>
      </c>
      <c r="BF33" s="39" t="s">
        <v>450</v>
      </c>
      <c r="BG33" s="32" t="s">
        <v>148</v>
      </c>
      <c r="BH33" s="36" t="s">
        <v>124</v>
      </c>
      <c r="BI33" s="36" t="s">
        <v>125</v>
      </c>
      <c r="BJ33" s="36" t="s">
        <v>126</v>
      </c>
      <c r="BK33" s="36" t="s">
        <v>127</v>
      </c>
      <c r="BL33" s="36" t="s">
        <v>128</v>
      </c>
      <c r="BM33" s="36" t="s">
        <v>129</v>
      </c>
      <c r="BN33" s="36" t="s">
        <v>451</v>
      </c>
      <c r="BO33" s="36" t="s">
        <v>452</v>
      </c>
      <c r="BP33" s="37"/>
      <c r="BQ33" s="32" t="s">
        <v>106</v>
      </c>
      <c r="BR33" s="32"/>
      <c r="BS33" s="32" t="s">
        <v>106</v>
      </c>
      <c r="BT33" s="32"/>
      <c r="BU33" s="32"/>
      <c r="BV33" s="32"/>
      <c r="BW33" s="36" t="s">
        <v>192</v>
      </c>
      <c r="BX33" s="39" t="s">
        <v>193</v>
      </c>
      <c r="BY33" s="39" t="s">
        <v>194</v>
      </c>
    </row>
    <row r="34" spans="1:77" s="84" customFormat="1" ht="21.95" customHeight="1">
      <c r="A34" s="80">
        <v>1</v>
      </c>
      <c r="B34" s="76" t="s">
        <v>92</v>
      </c>
      <c r="C34" s="30" t="s">
        <v>132</v>
      </c>
      <c r="D34" s="31" t="s">
        <v>440</v>
      </c>
      <c r="E34" s="31" t="s">
        <v>441</v>
      </c>
      <c r="F34" s="32" t="s">
        <v>453</v>
      </c>
      <c r="G34" s="32" t="s">
        <v>454</v>
      </c>
      <c r="H34" s="32" t="s">
        <v>182</v>
      </c>
      <c r="I34" s="33" t="s">
        <v>455</v>
      </c>
      <c r="J34" s="34" t="s">
        <v>100</v>
      </c>
      <c r="K34" s="34" t="s">
        <v>100</v>
      </c>
      <c r="L34" s="34" t="s">
        <v>100</v>
      </c>
      <c r="M34" s="34" t="s">
        <v>100</v>
      </c>
      <c r="N34" s="34" t="s">
        <v>100</v>
      </c>
      <c r="O34" s="35" t="s">
        <v>101</v>
      </c>
      <c r="P34" s="33" t="s">
        <v>456</v>
      </c>
      <c r="Q34" s="36" t="s">
        <v>457</v>
      </c>
      <c r="R34" s="33" t="s">
        <v>458</v>
      </c>
      <c r="S34" s="31" t="s">
        <v>140</v>
      </c>
      <c r="T34" s="37"/>
      <c r="U34" s="37"/>
      <c r="V34" s="37"/>
      <c r="W34" s="37"/>
      <c r="X34" s="37"/>
      <c r="Y34" s="37" t="s">
        <v>106</v>
      </c>
      <c r="Z34" s="32" t="s">
        <v>141</v>
      </c>
      <c r="AA34" s="32" t="s">
        <v>108</v>
      </c>
      <c r="AB34" s="37" t="s">
        <v>106</v>
      </c>
      <c r="AC34" s="37" t="s">
        <v>106</v>
      </c>
      <c r="AD34" s="37" t="s">
        <v>106</v>
      </c>
      <c r="AE34" s="37" t="s">
        <v>106</v>
      </c>
      <c r="AF34" s="37" t="s">
        <v>106</v>
      </c>
      <c r="AG34" s="37" t="s">
        <v>106</v>
      </c>
      <c r="AH34" s="32" t="s">
        <v>106</v>
      </c>
      <c r="AI34" s="31" t="s">
        <v>109</v>
      </c>
      <c r="AJ34" s="31" t="s">
        <v>142</v>
      </c>
      <c r="AK34" s="32" t="s">
        <v>111</v>
      </c>
      <c r="AL34" s="32" t="s">
        <v>112</v>
      </c>
      <c r="AM34" s="32" t="s">
        <v>111</v>
      </c>
      <c r="AN34" s="32" t="s">
        <v>114</v>
      </c>
      <c r="AO34" s="32" t="s">
        <v>114</v>
      </c>
      <c r="AP34" s="32" t="s">
        <v>114</v>
      </c>
      <c r="AQ34" s="32" t="s">
        <v>114</v>
      </c>
      <c r="AR34" s="32" t="s">
        <v>114</v>
      </c>
      <c r="AS34" s="32" t="s">
        <v>114</v>
      </c>
      <c r="AT34" s="32" t="s">
        <v>114</v>
      </c>
      <c r="AU34" s="32" t="s">
        <v>114</v>
      </c>
      <c r="AV34" s="38" t="s">
        <v>116</v>
      </c>
      <c r="AW34" s="36" t="s">
        <v>459</v>
      </c>
      <c r="AX34" s="36" t="s">
        <v>112</v>
      </c>
      <c r="AY34" s="32"/>
      <c r="AZ34" s="32"/>
      <c r="BA34" s="32" t="s">
        <v>145</v>
      </c>
      <c r="BB34" s="32"/>
      <c r="BC34" s="32" t="s">
        <v>460</v>
      </c>
      <c r="BD34" s="32" t="s">
        <v>162</v>
      </c>
      <c r="BE34" s="32">
        <v>1</v>
      </c>
      <c r="BF34" s="39" t="s">
        <v>461</v>
      </c>
      <c r="BG34" s="32" t="s">
        <v>148</v>
      </c>
      <c r="BH34" s="36" t="s">
        <v>124</v>
      </c>
      <c r="BI34" s="36" t="s">
        <v>125</v>
      </c>
      <c r="BJ34" s="36" t="s">
        <v>126</v>
      </c>
      <c r="BK34" s="36" t="s">
        <v>127</v>
      </c>
      <c r="BL34" s="36" t="s">
        <v>128</v>
      </c>
      <c r="BM34" s="36" t="s">
        <v>129</v>
      </c>
      <c r="BN34" s="36" t="s">
        <v>462</v>
      </c>
      <c r="BO34" s="36" t="s">
        <v>463</v>
      </c>
      <c r="BP34" s="37"/>
      <c r="BQ34" s="32" t="s">
        <v>106</v>
      </c>
      <c r="BR34" s="32"/>
      <c r="BS34" s="32" t="s">
        <v>106</v>
      </c>
      <c r="BT34" s="32"/>
      <c r="BU34" s="32"/>
      <c r="BV34" s="32"/>
      <c r="BW34" s="36" t="s">
        <v>192</v>
      </c>
      <c r="BX34" s="39" t="s">
        <v>193</v>
      </c>
      <c r="BY34" s="39" t="s">
        <v>194</v>
      </c>
    </row>
    <row r="35" spans="1:77" s="84" customFormat="1" ht="21.95" customHeight="1">
      <c r="A35" s="80">
        <v>1</v>
      </c>
      <c r="B35" s="76" t="s">
        <v>92</v>
      </c>
      <c r="C35" s="30" t="s">
        <v>132</v>
      </c>
      <c r="D35" s="31" t="s">
        <v>440</v>
      </c>
      <c r="E35" s="31" t="s">
        <v>441</v>
      </c>
      <c r="F35" s="32" t="s">
        <v>464</v>
      </c>
      <c r="G35" s="32" t="s">
        <v>465</v>
      </c>
      <c r="H35" s="32" t="s">
        <v>98</v>
      </c>
      <c r="I35" s="33" t="s">
        <v>466</v>
      </c>
      <c r="J35" s="34" t="s">
        <v>100</v>
      </c>
      <c r="K35" s="34" t="s">
        <v>100</v>
      </c>
      <c r="L35" s="34" t="s">
        <v>100</v>
      </c>
      <c r="M35" s="34" t="s">
        <v>100</v>
      </c>
      <c r="N35" s="34" t="s">
        <v>100</v>
      </c>
      <c r="O35" s="35" t="s">
        <v>101</v>
      </c>
      <c r="P35" s="33" t="s">
        <v>467</v>
      </c>
      <c r="Q35" s="36" t="s">
        <v>468</v>
      </c>
      <c r="R35" s="33" t="s">
        <v>469</v>
      </c>
      <c r="S35" s="31" t="s">
        <v>140</v>
      </c>
      <c r="T35" s="37"/>
      <c r="U35" s="37"/>
      <c r="V35" s="37"/>
      <c r="W35" s="37"/>
      <c r="X35" s="37"/>
      <c r="Y35" s="37" t="s">
        <v>106</v>
      </c>
      <c r="Z35" s="32" t="s">
        <v>141</v>
      </c>
      <c r="AA35" s="32" t="s">
        <v>108</v>
      </c>
      <c r="AB35" s="37" t="s">
        <v>106</v>
      </c>
      <c r="AC35" s="37" t="s">
        <v>106</v>
      </c>
      <c r="AD35" s="37" t="s">
        <v>106</v>
      </c>
      <c r="AE35" s="37" t="s">
        <v>106</v>
      </c>
      <c r="AF35" s="37" t="s">
        <v>106</v>
      </c>
      <c r="AG35" s="37" t="s">
        <v>106</v>
      </c>
      <c r="AH35" s="32" t="s">
        <v>106</v>
      </c>
      <c r="AI35" s="31" t="s">
        <v>109</v>
      </c>
      <c r="AJ35" s="31" t="s">
        <v>142</v>
      </c>
      <c r="AK35" s="32" t="s">
        <v>111</v>
      </c>
      <c r="AL35" s="32" t="s">
        <v>112</v>
      </c>
      <c r="AM35" s="32" t="s">
        <v>111</v>
      </c>
      <c r="AN35" s="32" t="s">
        <v>114</v>
      </c>
      <c r="AO35" s="32" t="s">
        <v>114</v>
      </c>
      <c r="AP35" s="32" t="s">
        <v>114</v>
      </c>
      <c r="AQ35" s="32" t="s">
        <v>114</v>
      </c>
      <c r="AR35" s="32" t="s">
        <v>114</v>
      </c>
      <c r="AS35" s="32" t="s">
        <v>114</v>
      </c>
      <c r="AT35" s="32" t="s">
        <v>114</v>
      </c>
      <c r="AU35" s="32" t="s">
        <v>114</v>
      </c>
      <c r="AV35" s="38" t="s">
        <v>116</v>
      </c>
      <c r="AW35" s="36" t="s">
        <v>470</v>
      </c>
      <c r="AX35" s="36" t="s">
        <v>144</v>
      </c>
      <c r="AY35" s="32"/>
      <c r="AZ35" s="32"/>
      <c r="BA35" s="32" t="s">
        <v>261</v>
      </c>
      <c r="BB35" s="32"/>
      <c r="BC35" s="32" t="s">
        <v>471</v>
      </c>
      <c r="BD35" s="32" t="s">
        <v>162</v>
      </c>
      <c r="BE35" s="32">
        <v>1</v>
      </c>
      <c r="BF35" s="39" t="s">
        <v>472</v>
      </c>
      <c r="BG35" s="32" t="s">
        <v>148</v>
      </c>
      <c r="BH35" s="36" t="s">
        <v>124</v>
      </c>
      <c r="BI35" s="36" t="s">
        <v>125</v>
      </c>
      <c r="BJ35" s="36" t="s">
        <v>126</v>
      </c>
      <c r="BK35" s="36" t="s">
        <v>127</v>
      </c>
      <c r="BL35" s="36" t="s">
        <v>128</v>
      </c>
      <c r="BM35" s="36" t="s">
        <v>129</v>
      </c>
      <c r="BN35" s="36" t="s">
        <v>473</v>
      </c>
      <c r="BO35" s="36" t="s">
        <v>474</v>
      </c>
      <c r="BP35" s="37"/>
      <c r="BQ35" s="32" t="s">
        <v>106</v>
      </c>
      <c r="BR35" s="32"/>
      <c r="BS35" s="32" t="s">
        <v>106</v>
      </c>
      <c r="BT35" s="32"/>
      <c r="BU35" s="32"/>
      <c r="BV35" s="32"/>
      <c r="BW35" s="36" t="s">
        <v>192</v>
      </c>
      <c r="BX35" s="39" t="s">
        <v>193</v>
      </c>
      <c r="BY35" s="39" t="s">
        <v>194</v>
      </c>
    </row>
    <row r="36" spans="1:77" s="84" customFormat="1" ht="21.95" customHeight="1">
      <c r="A36" s="80">
        <v>1</v>
      </c>
      <c r="B36" s="76" t="s">
        <v>92</v>
      </c>
      <c r="C36" s="30" t="s">
        <v>132</v>
      </c>
      <c r="D36" s="31" t="s">
        <v>440</v>
      </c>
      <c r="E36" s="31" t="s">
        <v>441</v>
      </c>
      <c r="F36" s="32" t="s">
        <v>475</v>
      </c>
      <c r="G36" s="32" t="s">
        <v>476</v>
      </c>
      <c r="H36" s="32" t="s">
        <v>300</v>
      </c>
      <c r="I36" s="33" t="s">
        <v>477</v>
      </c>
      <c r="J36" s="34" t="s">
        <v>100</v>
      </c>
      <c r="K36" s="34" t="s">
        <v>100</v>
      </c>
      <c r="L36" s="34" t="s">
        <v>100</v>
      </c>
      <c r="M36" s="34" t="s">
        <v>100</v>
      </c>
      <c r="N36" s="34" t="s">
        <v>100</v>
      </c>
      <c r="O36" s="35" t="s">
        <v>101</v>
      </c>
      <c r="P36" s="33" t="s">
        <v>478</v>
      </c>
      <c r="Q36" s="36" t="s">
        <v>479</v>
      </c>
      <c r="R36" s="33" t="s">
        <v>480</v>
      </c>
      <c r="S36" s="31" t="s">
        <v>140</v>
      </c>
      <c r="T36" s="37"/>
      <c r="U36" s="37"/>
      <c r="V36" s="37"/>
      <c r="W36" s="37"/>
      <c r="X36" s="37"/>
      <c r="Y36" s="37" t="s">
        <v>106</v>
      </c>
      <c r="Z36" s="32" t="s">
        <v>141</v>
      </c>
      <c r="AA36" s="32" t="s">
        <v>108</v>
      </c>
      <c r="AB36" s="37" t="s">
        <v>106</v>
      </c>
      <c r="AC36" s="37" t="s">
        <v>106</v>
      </c>
      <c r="AD36" s="37" t="s">
        <v>106</v>
      </c>
      <c r="AE36" s="37" t="s">
        <v>106</v>
      </c>
      <c r="AF36" s="37" t="s">
        <v>106</v>
      </c>
      <c r="AG36" s="37" t="s">
        <v>106</v>
      </c>
      <c r="AH36" s="32" t="s">
        <v>106</v>
      </c>
      <c r="AI36" s="31" t="s">
        <v>109</v>
      </c>
      <c r="AJ36" s="31" t="s">
        <v>142</v>
      </c>
      <c r="AK36" s="32" t="s">
        <v>111</v>
      </c>
      <c r="AL36" s="32" t="s">
        <v>112</v>
      </c>
      <c r="AM36" s="32" t="s">
        <v>111</v>
      </c>
      <c r="AN36" s="32" t="s">
        <v>114</v>
      </c>
      <c r="AO36" s="32" t="s">
        <v>114</v>
      </c>
      <c r="AP36" s="32" t="s">
        <v>114</v>
      </c>
      <c r="AQ36" s="32" t="s">
        <v>114</v>
      </c>
      <c r="AR36" s="32" t="s">
        <v>114</v>
      </c>
      <c r="AS36" s="32" t="s">
        <v>114</v>
      </c>
      <c r="AT36" s="32" t="s">
        <v>114</v>
      </c>
      <c r="AU36" s="32" t="s">
        <v>114</v>
      </c>
      <c r="AV36" s="38" t="s">
        <v>116</v>
      </c>
      <c r="AW36" s="36" t="s">
        <v>481</v>
      </c>
      <c r="AX36" s="36" t="s">
        <v>112</v>
      </c>
      <c r="AY36" s="32"/>
      <c r="AZ36" s="32"/>
      <c r="BA36" s="32" t="s">
        <v>145</v>
      </c>
      <c r="BB36" s="32"/>
      <c r="BC36" s="32" t="s">
        <v>482</v>
      </c>
      <c r="BD36" s="32" t="s">
        <v>162</v>
      </c>
      <c r="BE36" s="32">
        <v>1</v>
      </c>
      <c r="BF36" s="39" t="s">
        <v>483</v>
      </c>
      <c r="BG36" s="32" t="s">
        <v>148</v>
      </c>
      <c r="BH36" s="36" t="s">
        <v>124</v>
      </c>
      <c r="BI36" s="36" t="s">
        <v>125</v>
      </c>
      <c r="BJ36" s="36" t="s">
        <v>126</v>
      </c>
      <c r="BK36" s="36" t="s">
        <v>127</v>
      </c>
      <c r="BL36" s="36" t="s">
        <v>128</v>
      </c>
      <c r="BM36" s="36" t="s">
        <v>129</v>
      </c>
      <c r="BN36" s="36" t="s">
        <v>484</v>
      </c>
      <c r="BO36" s="36" t="s">
        <v>485</v>
      </c>
      <c r="BP36" s="37"/>
      <c r="BQ36" s="32" t="s">
        <v>106</v>
      </c>
      <c r="BR36" s="32"/>
      <c r="BS36" s="32" t="s">
        <v>106</v>
      </c>
      <c r="BT36" s="32"/>
      <c r="BU36" s="32"/>
      <c r="BV36" s="32"/>
      <c r="BW36" s="36" t="s">
        <v>192</v>
      </c>
      <c r="BX36" s="39" t="s">
        <v>193</v>
      </c>
      <c r="BY36" s="39" t="s">
        <v>194</v>
      </c>
    </row>
    <row r="37" spans="1:77" s="84" customFormat="1" ht="21.95" customHeight="1">
      <c r="A37" s="80">
        <v>1</v>
      </c>
      <c r="B37" s="76" t="s">
        <v>92</v>
      </c>
      <c r="C37" s="30" t="s">
        <v>132</v>
      </c>
      <c r="D37" s="31" t="s">
        <v>440</v>
      </c>
      <c r="E37" s="31" t="s">
        <v>441</v>
      </c>
      <c r="F37" s="32" t="s">
        <v>486</v>
      </c>
      <c r="G37" s="32" t="s">
        <v>487</v>
      </c>
      <c r="H37" s="32" t="s">
        <v>488</v>
      </c>
      <c r="I37" s="33" t="s">
        <v>489</v>
      </c>
      <c r="J37" s="34" t="s">
        <v>100</v>
      </c>
      <c r="K37" s="34" t="s">
        <v>100</v>
      </c>
      <c r="L37" s="34" t="s">
        <v>100</v>
      </c>
      <c r="M37" s="34" t="s">
        <v>100</v>
      </c>
      <c r="N37" s="34" t="s">
        <v>100</v>
      </c>
      <c r="O37" s="35" t="s">
        <v>101</v>
      </c>
      <c r="P37" s="33" t="s">
        <v>490</v>
      </c>
      <c r="Q37" s="36" t="s">
        <v>491</v>
      </c>
      <c r="R37" s="33" t="s">
        <v>492</v>
      </c>
      <c r="S37" s="31" t="s">
        <v>140</v>
      </c>
      <c r="T37" s="37"/>
      <c r="U37" s="37"/>
      <c r="V37" s="37"/>
      <c r="W37" s="37"/>
      <c r="X37" s="37"/>
      <c r="Y37" s="37" t="s">
        <v>106</v>
      </c>
      <c r="Z37" s="32" t="s">
        <v>141</v>
      </c>
      <c r="AA37" s="32" t="s">
        <v>108</v>
      </c>
      <c r="AB37" s="37" t="s">
        <v>106</v>
      </c>
      <c r="AC37" s="37" t="s">
        <v>106</v>
      </c>
      <c r="AD37" s="37" t="s">
        <v>106</v>
      </c>
      <c r="AE37" s="37" t="s">
        <v>106</v>
      </c>
      <c r="AF37" s="37" t="s">
        <v>106</v>
      </c>
      <c r="AG37" s="37" t="s">
        <v>106</v>
      </c>
      <c r="AH37" s="32" t="s">
        <v>106</v>
      </c>
      <c r="AI37" s="31" t="s">
        <v>109</v>
      </c>
      <c r="AJ37" s="31" t="s">
        <v>142</v>
      </c>
      <c r="AK37" s="32" t="s">
        <v>111</v>
      </c>
      <c r="AL37" s="32" t="s">
        <v>112</v>
      </c>
      <c r="AM37" s="32" t="s">
        <v>111</v>
      </c>
      <c r="AN37" s="32" t="s">
        <v>114</v>
      </c>
      <c r="AO37" s="32" t="s">
        <v>114</v>
      </c>
      <c r="AP37" s="32" t="s">
        <v>114</v>
      </c>
      <c r="AQ37" s="32" t="s">
        <v>114</v>
      </c>
      <c r="AR37" s="32" t="s">
        <v>114</v>
      </c>
      <c r="AS37" s="32" t="s">
        <v>114</v>
      </c>
      <c r="AT37" s="32" t="s">
        <v>114</v>
      </c>
      <c r="AU37" s="32" t="s">
        <v>114</v>
      </c>
      <c r="AV37" s="38" t="s">
        <v>116</v>
      </c>
      <c r="AW37" s="36" t="s">
        <v>493</v>
      </c>
      <c r="AX37" s="36" t="s">
        <v>112</v>
      </c>
      <c r="AY37" s="32"/>
      <c r="AZ37" s="32"/>
      <c r="BA37" s="32" t="s">
        <v>145</v>
      </c>
      <c r="BB37" s="32"/>
      <c r="BC37" s="32" t="s">
        <v>494</v>
      </c>
      <c r="BD37" s="32" t="s">
        <v>162</v>
      </c>
      <c r="BE37" s="32">
        <v>1</v>
      </c>
      <c r="BF37" s="39" t="s">
        <v>495</v>
      </c>
      <c r="BG37" s="32" t="s">
        <v>148</v>
      </c>
      <c r="BH37" s="36" t="s">
        <v>124</v>
      </c>
      <c r="BI37" s="36" t="s">
        <v>125</v>
      </c>
      <c r="BJ37" s="36" t="s">
        <v>126</v>
      </c>
      <c r="BK37" s="36" t="s">
        <v>127</v>
      </c>
      <c r="BL37" s="36" t="s">
        <v>128</v>
      </c>
      <c r="BM37" s="36" t="s">
        <v>129</v>
      </c>
      <c r="BN37" s="36" t="s">
        <v>496</v>
      </c>
      <c r="BO37" s="36" t="s">
        <v>497</v>
      </c>
      <c r="BP37" s="37"/>
      <c r="BQ37" s="32" t="s">
        <v>106</v>
      </c>
      <c r="BR37" s="32"/>
      <c r="BS37" s="32" t="s">
        <v>106</v>
      </c>
      <c r="BT37" s="32"/>
      <c r="BU37" s="32"/>
      <c r="BV37" s="32"/>
      <c r="BW37" s="36" t="s">
        <v>192</v>
      </c>
      <c r="BX37" s="39" t="s">
        <v>193</v>
      </c>
      <c r="BY37" s="39" t="s">
        <v>194</v>
      </c>
    </row>
    <row r="38" spans="1:77" s="84" customFormat="1" ht="21.95" customHeight="1">
      <c r="A38" s="80">
        <v>1</v>
      </c>
      <c r="B38" s="76" t="s">
        <v>92</v>
      </c>
      <c r="C38" s="30" t="s">
        <v>132</v>
      </c>
      <c r="D38" s="31" t="s">
        <v>498</v>
      </c>
      <c r="E38" s="31" t="s">
        <v>499</v>
      </c>
      <c r="F38" s="32" t="s">
        <v>500</v>
      </c>
      <c r="G38" s="32" t="s">
        <v>501</v>
      </c>
      <c r="H38" s="32" t="s">
        <v>182</v>
      </c>
      <c r="I38" s="33" t="s">
        <v>502</v>
      </c>
      <c r="J38" s="34" t="s">
        <v>100</v>
      </c>
      <c r="K38" s="34" t="s">
        <v>100</v>
      </c>
      <c r="L38" s="34" t="s">
        <v>100</v>
      </c>
      <c r="M38" s="34" t="s">
        <v>100</v>
      </c>
      <c r="N38" s="34" t="s">
        <v>100</v>
      </c>
      <c r="O38" s="35" t="s">
        <v>101</v>
      </c>
      <c r="P38" s="33" t="s">
        <v>503</v>
      </c>
      <c r="Q38" s="36" t="s">
        <v>504</v>
      </c>
      <c r="R38" s="33" t="s">
        <v>505</v>
      </c>
      <c r="S38" s="31" t="s">
        <v>140</v>
      </c>
      <c r="T38" s="37"/>
      <c r="U38" s="37"/>
      <c r="V38" s="37"/>
      <c r="W38" s="37"/>
      <c r="X38" s="37"/>
      <c r="Y38" s="37" t="s">
        <v>106</v>
      </c>
      <c r="Z38" s="32" t="s">
        <v>141</v>
      </c>
      <c r="AA38" s="32" t="s">
        <v>108</v>
      </c>
      <c r="AB38" s="37" t="s">
        <v>106</v>
      </c>
      <c r="AC38" s="37" t="s">
        <v>106</v>
      </c>
      <c r="AD38" s="37" t="s">
        <v>106</v>
      </c>
      <c r="AE38" s="37" t="s">
        <v>106</v>
      </c>
      <c r="AF38" s="37" t="s">
        <v>106</v>
      </c>
      <c r="AG38" s="37" t="s">
        <v>106</v>
      </c>
      <c r="AH38" s="32" t="s">
        <v>106</v>
      </c>
      <c r="AI38" s="31" t="s">
        <v>109</v>
      </c>
      <c r="AJ38" s="31" t="s">
        <v>142</v>
      </c>
      <c r="AK38" s="32" t="s">
        <v>111</v>
      </c>
      <c r="AL38" s="32" t="s">
        <v>112</v>
      </c>
      <c r="AM38" s="32" t="s">
        <v>111</v>
      </c>
      <c r="AN38" s="32" t="s">
        <v>114</v>
      </c>
      <c r="AO38" s="32" t="s">
        <v>114</v>
      </c>
      <c r="AP38" s="32" t="s">
        <v>114</v>
      </c>
      <c r="AQ38" s="32" t="s">
        <v>114</v>
      </c>
      <c r="AR38" s="32" t="s">
        <v>114</v>
      </c>
      <c r="AS38" s="32" t="s">
        <v>114</v>
      </c>
      <c r="AT38" s="32" t="s">
        <v>114</v>
      </c>
      <c r="AU38" s="32" t="s">
        <v>114</v>
      </c>
      <c r="AV38" s="38" t="s">
        <v>116</v>
      </c>
      <c r="AW38" s="36" t="s">
        <v>506</v>
      </c>
      <c r="AX38" s="36" t="s">
        <v>112</v>
      </c>
      <c r="AY38" s="32"/>
      <c r="AZ38" s="32"/>
      <c r="BA38" s="32" t="s">
        <v>145</v>
      </c>
      <c r="BB38" s="32"/>
      <c r="BC38" s="32" t="s">
        <v>345</v>
      </c>
      <c r="BD38" s="32" t="s">
        <v>162</v>
      </c>
      <c r="BE38" s="32">
        <v>1</v>
      </c>
      <c r="BF38" s="39" t="s">
        <v>507</v>
      </c>
      <c r="BG38" s="32" t="s">
        <v>148</v>
      </c>
      <c r="BH38" s="36" t="s">
        <v>124</v>
      </c>
      <c r="BI38" s="36" t="s">
        <v>125</v>
      </c>
      <c r="BJ38" s="36" t="s">
        <v>126</v>
      </c>
      <c r="BK38" s="36" t="s">
        <v>127</v>
      </c>
      <c r="BL38" s="36" t="s">
        <v>128</v>
      </c>
      <c r="BM38" s="36" t="s">
        <v>129</v>
      </c>
      <c r="BN38" s="36" t="s">
        <v>508</v>
      </c>
      <c r="BO38" s="36" t="s">
        <v>509</v>
      </c>
      <c r="BP38" s="37"/>
      <c r="BQ38" s="32" t="s">
        <v>106</v>
      </c>
      <c r="BR38" s="32"/>
      <c r="BS38" s="32" t="s">
        <v>106</v>
      </c>
      <c r="BT38" s="32"/>
      <c r="BU38" s="32"/>
      <c r="BV38" s="32"/>
      <c r="BW38" s="36" t="s">
        <v>192</v>
      </c>
      <c r="BX38" s="39" t="s">
        <v>193</v>
      </c>
      <c r="BY38" s="39" t="s">
        <v>194</v>
      </c>
    </row>
    <row r="39" spans="1:77" s="84" customFormat="1" ht="21.95" customHeight="1">
      <c r="A39" s="80">
        <v>1</v>
      </c>
      <c r="B39" s="76" t="s">
        <v>92</v>
      </c>
      <c r="C39" s="30" t="s">
        <v>132</v>
      </c>
      <c r="D39" s="31" t="s">
        <v>498</v>
      </c>
      <c r="E39" s="31" t="s">
        <v>499</v>
      </c>
      <c r="F39" s="32" t="s">
        <v>510</v>
      </c>
      <c r="G39" s="32" t="s">
        <v>511</v>
      </c>
      <c r="H39" s="32" t="s">
        <v>182</v>
      </c>
      <c r="I39" s="33" t="s">
        <v>512</v>
      </c>
      <c r="J39" s="34" t="s">
        <v>100</v>
      </c>
      <c r="K39" s="34" t="s">
        <v>100</v>
      </c>
      <c r="L39" s="34" t="s">
        <v>100</v>
      </c>
      <c r="M39" s="34" t="s">
        <v>100</v>
      </c>
      <c r="N39" s="34" t="s">
        <v>100</v>
      </c>
      <c r="O39" s="35" t="s">
        <v>101</v>
      </c>
      <c r="P39" s="33" t="s">
        <v>513</v>
      </c>
      <c r="Q39" s="36" t="s">
        <v>514</v>
      </c>
      <c r="R39" s="33" t="s">
        <v>515</v>
      </c>
      <c r="S39" s="31" t="s">
        <v>140</v>
      </c>
      <c r="T39" s="37"/>
      <c r="U39" s="37"/>
      <c r="V39" s="37"/>
      <c r="W39" s="37"/>
      <c r="X39" s="37"/>
      <c r="Y39" s="37" t="s">
        <v>106</v>
      </c>
      <c r="Z39" s="32" t="s">
        <v>141</v>
      </c>
      <c r="AA39" s="32" t="s">
        <v>108</v>
      </c>
      <c r="AB39" s="37" t="s">
        <v>106</v>
      </c>
      <c r="AC39" s="37" t="s">
        <v>106</v>
      </c>
      <c r="AD39" s="37" t="s">
        <v>106</v>
      </c>
      <c r="AE39" s="37" t="s">
        <v>106</v>
      </c>
      <c r="AF39" s="37" t="s">
        <v>106</v>
      </c>
      <c r="AG39" s="37" t="s">
        <v>106</v>
      </c>
      <c r="AH39" s="32" t="s">
        <v>106</v>
      </c>
      <c r="AI39" s="31" t="s">
        <v>109</v>
      </c>
      <c r="AJ39" s="31" t="s">
        <v>142</v>
      </c>
      <c r="AK39" s="32" t="s">
        <v>111</v>
      </c>
      <c r="AL39" s="32" t="s">
        <v>112</v>
      </c>
      <c r="AM39" s="32" t="s">
        <v>111</v>
      </c>
      <c r="AN39" s="32" t="s">
        <v>114</v>
      </c>
      <c r="AO39" s="32" t="s">
        <v>114</v>
      </c>
      <c r="AP39" s="32" t="s">
        <v>114</v>
      </c>
      <c r="AQ39" s="32" t="s">
        <v>114</v>
      </c>
      <c r="AR39" s="32" t="s">
        <v>114</v>
      </c>
      <c r="AS39" s="32" t="s">
        <v>114</v>
      </c>
      <c r="AT39" s="32" t="s">
        <v>114</v>
      </c>
      <c r="AU39" s="32" t="s">
        <v>114</v>
      </c>
      <c r="AV39" s="38" t="s">
        <v>116</v>
      </c>
      <c r="AW39" s="36" t="s">
        <v>516</v>
      </c>
      <c r="AX39" s="36" t="s">
        <v>112</v>
      </c>
      <c r="AY39" s="32"/>
      <c r="AZ39" s="32"/>
      <c r="BA39" s="32" t="s">
        <v>145</v>
      </c>
      <c r="BB39" s="32"/>
      <c r="BC39" s="32" t="s">
        <v>517</v>
      </c>
      <c r="BD39" s="32" t="s">
        <v>162</v>
      </c>
      <c r="BE39" s="32">
        <v>1</v>
      </c>
      <c r="BF39" s="39" t="s">
        <v>518</v>
      </c>
      <c r="BG39" s="32" t="s">
        <v>148</v>
      </c>
      <c r="BH39" s="36" t="s">
        <v>124</v>
      </c>
      <c r="BI39" s="36" t="s">
        <v>125</v>
      </c>
      <c r="BJ39" s="36" t="s">
        <v>126</v>
      </c>
      <c r="BK39" s="36" t="s">
        <v>127</v>
      </c>
      <c r="BL39" s="36" t="s">
        <v>128</v>
      </c>
      <c r="BM39" s="36" t="s">
        <v>129</v>
      </c>
      <c r="BN39" s="36" t="s">
        <v>519</v>
      </c>
      <c r="BO39" s="36" t="s">
        <v>520</v>
      </c>
      <c r="BP39" s="37"/>
      <c r="BQ39" s="32" t="s">
        <v>106</v>
      </c>
      <c r="BR39" s="32"/>
      <c r="BS39" s="32" t="s">
        <v>106</v>
      </c>
      <c r="BT39" s="32"/>
      <c r="BU39" s="32"/>
      <c r="BV39" s="32"/>
      <c r="BW39" s="36" t="s">
        <v>192</v>
      </c>
      <c r="BX39" s="39" t="s">
        <v>193</v>
      </c>
      <c r="BY39" s="39" t="s">
        <v>194</v>
      </c>
    </row>
    <row r="40" spans="1:77" s="84" customFormat="1" ht="21.95" customHeight="1">
      <c r="A40" s="80">
        <v>1</v>
      </c>
      <c r="B40" s="76" t="s">
        <v>92</v>
      </c>
      <c r="C40" s="30" t="s">
        <v>132</v>
      </c>
      <c r="D40" s="31" t="s">
        <v>498</v>
      </c>
      <c r="E40" s="31" t="s">
        <v>499</v>
      </c>
      <c r="F40" s="32" t="s">
        <v>521</v>
      </c>
      <c r="G40" s="32" t="s">
        <v>522</v>
      </c>
      <c r="H40" s="32" t="s">
        <v>523</v>
      </c>
      <c r="I40" s="33" t="s">
        <v>524</v>
      </c>
      <c r="J40" s="34" t="s">
        <v>100</v>
      </c>
      <c r="K40" s="34" t="s">
        <v>100</v>
      </c>
      <c r="L40" s="34" t="s">
        <v>100</v>
      </c>
      <c r="M40" s="34" t="s">
        <v>100</v>
      </c>
      <c r="N40" s="34" t="s">
        <v>100</v>
      </c>
      <c r="O40" s="35" t="s">
        <v>101</v>
      </c>
      <c r="P40" s="33" t="s">
        <v>525</v>
      </c>
      <c r="Q40" s="36" t="s">
        <v>526</v>
      </c>
      <c r="R40" s="33" t="s">
        <v>527</v>
      </c>
      <c r="S40" s="31" t="s">
        <v>140</v>
      </c>
      <c r="T40" s="37"/>
      <c r="U40" s="37"/>
      <c r="V40" s="37"/>
      <c r="W40" s="37"/>
      <c r="X40" s="37"/>
      <c r="Y40" s="37" t="s">
        <v>106</v>
      </c>
      <c r="Z40" s="32" t="s">
        <v>141</v>
      </c>
      <c r="AA40" s="32" t="s">
        <v>108</v>
      </c>
      <c r="AB40" s="37" t="s">
        <v>106</v>
      </c>
      <c r="AC40" s="37" t="s">
        <v>106</v>
      </c>
      <c r="AD40" s="37" t="s">
        <v>106</v>
      </c>
      <c r="AE40" s="37" t="s">
        <v>106</v>
      </c>
      <c r="AF40" s="37" t="s">
        <v>106</v>
      </c>
      <c r="AG40" s="37" t="s">
        <v>106</v>
      </c>
      <c r="AH40" s="32" t="s">
        <v>106</v>
      </c>
      <c r="AI40" s="31" t="s">
        <v>109</v>
      </c>
      <c r="AJ40" s="31" t="s">
        <v>142</v>
      </c>
      <c r="AK40" s="32" t="s">
        <v>111</v>
      </c>
      <c r="AL40" s="32" t="s">
        <v>112</v>
      </c>
      <c r="AM40" s="32" t="s">
        <v>111</v>
      </c>
      <c r="AN40" s="32" t="s">
        <v>114</v>
      </c>
      <c r="AO40" s="32" t="s">
        <v>114</v>
      </c>
      <c r="AP40" s="32" t="s">
        <v>114</v>
      </c>
      <c r="AQ40" s="32" t="s">
        <v>114</v>
      </c>
      <c r="AR40" s="32" t="s">
        <v>114</v>
      </c>
      <c r="AS40" s="32" t="s">
        <v>114</v>
      </c>
      <c r="AT40" s="32" t="s">
        <v>114</v>
      </c>
      <c r="AU40" s="32" t="s">
        <v>114</v>
      </c>
      <c r="AV40" s="38" t="s">
        <v>116</v>
      </c>
      <c r="AW40" s="36" t="s">
        <v>528</v>
      </c>
      <c r="AX40" s="36" t="s">
        <v>112</v>
      </c>
      <c r="AY40" s="32"/>
      <c r="AZ40" s="32"/>
      <c r="BA40" s="32" t="s">
        <v>145</v>
      </c>
      <c r="BB40" s="32"/>
      <c r="BC40" s="32" t="s">
        <v>529</v>
      </c>
      <c r="BD40" s="32" t="s">
        <v>162</v>
      </c>
      <c r="BE40" s="32">
        <v>1</v>
      </c>
      <c r="BF40" s="39" t="s">
        <v>530</v>
      </c>
      <c r="BG40" s="32" t="s">
        <v>148</v>
      </c>
      <c r="BH40" s="36" t="s">
        <v>124</v>
      </c>
      <c r="BI40" s="36" t="s">
        <v>125</v>
      </c>
      <c r="BJ40" s="36" t="s">
        <v>126</v>
      </c>
      <c r="BK40" s="36" t="s">
        <v>127</v>
      </c>
      <c r="BL40" s="36" t="s">
        <v>128</v>
      </c>
      <c r="BM40" s="36" t="s">
        <v>129</v>
      </c>
      <c r="BN40" s="36" t="s">
        <v>531</v>
      </c>
      <c r="BO40" s="36" t="s">
        <v>532</v>
      </c>
      <c r="BP40" s="37"/>
      <c r="BQ40" s="32" t="s">
        <v>106</v>
      </c>
      <c r="BR40" s="32"/>
      <c r="BS40" s="32" t="s">
        <v>106</v>
      </c>
      <c r="BT40" s="32"/>
      <c r="BU40" s="32"/>
      <c r="BV40" s="32"/>
      <c r="BW40" s="36" t="s">
        <v>192</v>
      </c>
      <c r="BX40" s="39" t="s">
        <v>193</v>
      </c>
      <c r="BY40" s="39" t="s">
        <v>194</v>
      </c>
    </row>
    <row r="41" spans="1:77" s="84" customFormat="1" ht="21.95" customHeight="1">
      <c r="A41" s="80">
        <v>1</v>
      </c>
      <c r="B41" s="76" t="s">
        <v>92</v>
      </c>
      <c r="C41" s="30" t="s">
        <v>132</v>
      </c>
      <c r="D41" s="31" t="s">
        <v>498</v>
      </c>
      <c r="E41" s="31" t="s">
        <v>499</v>
      </c>
      <c r="F41" s="32" t="s">
        <v>533</v>
      </c>
      <c r="G41" s="32" t="s">
        <v>534</v>
      </c>
      <c r="H41" s="32" t="s">
        <v>182</v>
      </c>
      <c r="I41" s="33" t="s">
        <v>535</v>
      </c>
      <c r="J41" s="34" t="s">
        <v>100</v>
      </c>
      <c r="K41" s="34" t="s">
        <v>100</v>
      </c>
      <c r="L41" s="34" t="s">
        <v>100</v>
      </c>
      <c r="M41" s="34" t="s">
        <v>100</v>
      </c>
      <c r="N41" s="34" t="s">
        <v>100</v>
      </c>
      <c r="O41" s="35" t="s">
        <v>101</v>
      </c>
      <c r="P41" s="33" t="s">
        <v>536</v>
      </c>
      <c r="Q41" s="36" t="s">
        <v>537</v>
      </c>
      <c r="R41" s="33" t="s">
        <v>538</v>
      </c>
      <c r="S41" s="31" t="s">
        <v>140</v>
      </c>
      <c r="T41" s="37"/>
      <c r="U41" s="37"/>
      <c r="V41" s="37"/>
      <c r="W41" s="37"/>
      <c r="X41" s="37"/>
      <c r="Y41" s="37" t="s">
        <v>106</v>
      </c>
      <c r="Z41" s="32" t="s">
        <v>141</v>
      </c>
      <c r="AA41" s="32" t="s">
        <v>108</v>
      </c>
      <c r="AB41" s="37" t="s">
        <v>106</v>
      </c>
      <c r="AC41" s="37" t="s">
        <v>106</v>
      </c>
      <c r="AD41" s="37" t="s">
        <v>106</v>
      </c>
      <c r="AE41" s="37" t="s">
        <v>106</v>
      </c>
      <c r="AF41" s="37" t="s">
        <v>106</v>
      </c>
      <c r="AG41" s="37" t="s">
        <v>106</v>
      </c>
      <c r="AH41" s="32" t="s">
        <v>106</v>
      </c>
      <c r="AI41" s="31" t="s">
        <v>109</v>
      </c>
      <c r="AJ41" s="31" t="s">
        <v>142</v>
      </c>
      <c r="AK41" s="32" t="s">
        <v>111</v>
      </c>
      <c r="AL41" s="32" t="s">
        <v>112</v>
      </c>
      <c r="AM41" s="32" t="s">
        <v>111</v>
      </c>
      <c r="AN41" s="32" t="s">
        <v>114</v>
      </c>
      <c r="AO41" s="32" t="s">
        <v>114</v>
      </c>
      <c r="AP41" s="32" t="s">
        <v>114</v>
      </c>
      <c r="AQ41" s="32" t="s">
        <v>114</v>
      </c>
      <c r="AR41" s="32" t="s">
        <v>114</v>
      </c>
      <c r="AS41" s="32" t="s">
        <v>114</v>
      </c>
      <c r="AT41" s="32" t="s">
        <v>114</v>
      </c>
      <c r="AU41" s="32" t="s">
        <v>114</v>
      </c>
      <c r="AV41" s="38" t="s">
        <v>116</v>
      </c>
      <c r="AW41" s="36" t="s">
        <v>539</v>
      </c>
      <c r="AX41" s="36" t="s">
        <v>112</v>
      </c>
      <c r="AY41" s="32"/>
      <c r="AZ41" s="32"/>
      <c r="BA41" s="32" t="s">
        <v>145</v>
      </c>
      <c r="BB41" s="32"/>
      <c r="BC41" s="32" t="s">
        <v>540</v>
      </c>
      <c r="BD41" s="32" t="s">
        <v>162</v>
      </c>
      <c r="BE41" s="32">
        <v>1</v>
      </c>
      <c r="BF41" s="39" t="s">
        <v>541</v>
      </c>
      <c r="BG41" s="32" t="s">
        <v>148</v>
      </c>
      <c r="BH41" s="36" t="s">
        <v>124</v>
      </c>
      <c r="BI41" s="36" t="s">
        <v>125</v>
      </c>
      <c r="BJ41" s="36" t="s">
        <v>126</v>
      </c>
      <c r="BK41" s="36" t="s">
        <v>127</v>
      </c>
      <c r="BL41" s="36" t="s">
        <v>128</v>
      </c>
      <c r="BM41" s="36" t="s">
        <v>129</v>
      </c>
      <c r="BN41" s="36" t="s">
        <v>542</v>
      </c>
      <c r="BO41" s="36" t="s">
        <v>543</v>
      </c>
      <c r="BP41" s="37"/>
      <c r="BQ41" s="32" t="s">
        <v>106</v>
      </c>
      <c r="BR41" s="32"/>
      <c r="BS41" s="32" t="s">
        <v>106</v>
      </c>
      <c r="BT41" s="32"/>
      <c r="BU41" s="32"/>
      <c r="BV41" s="32"/>
      <c r="BW41" s="36" t="s">
        <v>192</v>
      </c>
      <c r="BX41" s="39" t="s">
        <v>193</v>
      </c>
      <c r="BY41" s="39" t="s">
        <v>194</v>
      </c>
    </row>
    <row r="42" spans="1:77" s="81" customFormat="1" ht="21.95" customHeight="1">
      <c r="A42" s="60">
        <v>1</v>
      </c>
      <c r="B42" s="77" t="s">
        <v>92</v>
      </c>
      <c r="C42" s="41" t="s">
        <v>132</v>
      </c>
      <c r="D42" s="42" t="s">
        <v>498</v>
      </c>
      <c r="E42" s="42" t="s">
        <v>499</v>
      </c>
      <c r="F42" s="43" t="s">
        <v>544</v>
      </c>
      <c r="G42" s="43" t="s">
        <v>545</v>
      </c>
      <c r="H42" s="43" t="s">
        <v>546</v>
      </c>
      <c r="I42" s="44" t="s">
        <v>547</v>
      </c>
      <c r="J42" s="45" t="s">
        <v>100</v>
      </c>
      <c r="K42" s="45" t="s">
        <v>100</v>
      </c>
      <c r="L42" s="45" t="s">
        <v>100</v>
      </c>
      <c r="M42" s="45" t="s">
        <v>100</v>
      </c>
      <c r="N42" s="45" t="s">
        <v>100</v>
      </c>
      <c r="O42" s="46" t="s">
        <v>101</v>
      </c>
      <c r="P42" s="44" t="s">
        <v>1478</v>
      </c>
      <c r="Q42" s="40" t="s">
        <v>548</v>
      </c>
      <c r="R42" s="44" t="s">
        <v>549</v>
      </c>
      <c r="S42" s="42" t="s">
        <v>140</v>
      </c>
      <c r="T42" s="47"/>
      <c r="U42" s="47"/>
      <c r="V42" s="47"/>
      <c r="W42" s="47"/>
      <c r="X42" s="47"/>
      <c r="Y42" s="47" t="s">
        <v>106</v>
      </c>
      <c r="Z42" s="43" t="s">
        <v>141</v>
      </c>
      <c r="AA42" s="43" t="s">
        <v>108</v>
      </c>
      <c r="AB42" s="47" t="s">
        <v>106</v>
      </c>
      <c r="AC42" s="47" t="s">
        <v>106</v>
      </c>
      <c r="AD42" s="47" t="s">
        <v>106</v>
      </c>
      <c r="AE42" s="47" t="s">
        <v>106</v>
      </c>
      <c r="AF42" s="47" t="s">
        <v>106</v>
      </c>
      <c r="AG42" s="47" t="s">
        <v>106</v>
      </c>
      <c r="AH42" s="43" t="s">
        <v>106</v>
      </c>
      <c r="AI42" s="42" t="s">
        <v>109</v>
      </c>
      <c r="AJ42" s="42" t="s">
        <v>142</v>
      </c>
      <c r="AK42" s="43" t="s">
        <v>111</v>
      </c>
      <c r="AL42" s="43" t="s">
        <v>112</v>
      </c>
      <c r="AM42" s="43" t="s">
        <v>111</v>
      </c>
      <c r="AN42" s="43" t="s">
        <v>114</v>
      </c>
      <c r="AO42" s="43" t="s">
        <v>114</v>
      </c>
      <c r="AP42" s="43" t="s">
        <v>114</v>
      </c>
      <c r="AQ42" s="43" t="s">
        <v>114</v>
      </c>
      <c r="AR42" s="43" t="s">
        <v>114</v>
      </c>
      <c r="AS42" s="43" t="s">
        <v>114</v>
      </c>
      <c r="AT42" s="43" t="s">
        <v>114</v>
      </c>
      <c r="AU42" s="43" t="s">
        <v>114</v>
      </c>
      <c r="AV42" s="48" t="s">
        <v>116</v>
      </c>
      <c r="AW42" s="40" t="s">
        <v>1479</v>
      </c>
      <c r="AX42" s="40" t="s">
        <v>112</v>
      </c>
      <c r="AY42" s="43"/>
      <c r="AZ42" s="43"/>
      <c r="BA42" s="43" t="s">
        <v>145</v>
      </c>
      <c r="BB42" s="43"/>
      <c r="BC42" s="43" t="s">
        <v>379</v>
      </c>
      <c r="BD42" s="43" t="s">
        <v>162</v>
      </c>
      <c r="BE42" s="43">
        <v>1</v>
      </c>
      <c r="BF42" s="49" t="s">
        <v>550</v>
      </c>
      <c r="BG42" s="43" t="s">
        <v>148</v>
      </c>
      <c r="BH42" s="40" t="s">
        <v>124</v>
      </c>
      <c r="BI42" s="40" t="s">
        <v>125</v>
      </c>
      <c r="BJ42" s="40" t="s">
        <v>126</v>
      </c>
      <c r="BK42" s="40" t="s">
        <v>127</v>
      </c>
      <c r="BL42" s="40" t="s">
        <v>128</v>
      </c>
      <c r="BM42" s="40" t="s">
        <v>129</v>
      </c>
      <c r="BN42" s="40" t="s">
        <v>551</v>
      </c>
      <c r="BO42" s="40" t="s">
        <v>552</v>
      </c>
      <c r="BP42" s="47"/>
      <c r="BQ42" s="43" t="s">
        <v>106</v>
      </c>
      <c r="BR42" s="43"/>
      <c r="BS42" s="43" t="s">
        <v>106</v>
      </c>
      <c r="BT42" s="43"/>
      <c r="BU42" s="43"/>
      <c r="BV42" s="43"/>
      <c r="BW42" s="40" t="s">
        <v>192</v>
      </c>
      <c r="BX42" s="49" t="s">
        <v>193</v>
      </c>
      <c r="BY42" s="49" t="s">
        <v>194</v>
      </c>
    </row>
    <row r="43" spans="1:77" s="84" customFormat="1" ht="21.95" customHeight="1">
      <c r="A43" s="80">
        <v>1</v>
      </c>
      <c r="B43" s="76" t="s">
        <v>92</v>
      </c>
      <c r="C43" s="30" t="s">
        <v>132</v>
      </c>
      <c r="D43" s="31" t="s">
        <v>498</v>
      </c>
      <c r="E43" s="31" t="s">
        <v>499</v>
      </c>
      <c r="F43" s="32" t="s">
        <v>553</v>
      </c>
      <c r="G43" s="32" t="s">
        <v>554</v>
      </c>
      <c r="H43" s="32" t="s">
        <v>546</v>
      </c>
      <c r="I43" s="33" t="s">
        <v>555</v>
      </c>
      <c r="J43" s="34" t="s">
        <v>100</v>
      </c>
      <c r="K43" s="34" t="s">
        <v>100</v>
      </c>
      <c r="L43" s="34" t="s">
        <v>100</v>
      </c>
      <c r="M43" s="34" t="s">
        <v>100</v>
      </c>
      <c r="N43" s="34" t="s">
        <v>100</v>
      </c>
      <c r="O43" s="35" t="s">
        <v>101</v>
      </c>
      <c r="P43" s="33" t="s">
        <v>556</v>
      </c>
      <c r="Q43" s="36" t="s">
        <v>557</v>
      </c>
      <c r="R43" s="33" t="s">
        <v>558</v>
      </c>
      <c r="S43" s="31" t="s">
        <v>140</v>
      </c>
      <c r="T43" s="37"/>
      <c r="U43" s="37"/>
      <c r="V43" s="37"/>
      <c r="W43" s="37"/>
      <c r="X43" s="37"/>
      <c r="Y43" s="37" t="s">
        <v>106</v>
      </c>
      <c r="Z43" s="32" t="s">
        <v>141</v>
      </c>
      <c r="AA43" s="32" t="s">
        <v>108</v>
      </c>
      <c r="AB43" s="37" t="s">
        <v>106</v>
      </c>
      <c r="AC43" s="37" t="s">
        <v>106</v>
      </c>
      <c r="AD43" s="37" t="s">
        <v>106</v>
      </c>
      <c r="AE43" s="37" t="s">
        <v>106</v>
      </c>
      <c r="AF43" s="37" t="s">
        <v>106</v>
      </c>
      <c r="AG43" s="37" t="s">
        <v>106</v>
      </c>
      <c r="AH43" s="32" t="s">
        <v>106</v>
      </c>
      <c r="AI43" s="31" t="s">
        <v>109</v>
      </c>
      <c r="AJ43" s="31" t="s">
        <v>142</v>
      </c>
      <c r="AK43" s="32" t="s">
        <v>111</v>
      </c>
      <c r="AL43" s="32" t="s">
        <v>112</v>
      </c>
      <c r="AM43" s="32" t="s">
        <v>111</v>
      </c>
      <c r="AN43" s="32" t="s">
        <v>114</v>
      </c>
      <c r="AO43" s="32" t="s">
        <v>114</v>
      </c>
      <c r="AP43" s="32" t="s">
        <v>114</v>
      </c>
      <c r="AQ43" s="32" t="s">
        <v>114</v>
      </c>
      <c r="AR43" s="32" t="s">
        <v>114</v>
      </c>
      <c r="AS43" s="32" t="s">
        <v>114</v>
      </c>
      <c r="AT43" s="32" t="s">
        <v>114</v>
      </c>
      <c r="AU43" s="32" t="s">
        <v>114</v>
      </c>
      <c r="AV43" s="38" t="s">
        <v>116</v>
      </c>
      <c r="AW43" s="36" t="s">
        <v>559</v>
      </c>
      <c r="AX43" s="36" t="s">
        <v>112</v>
      </c>
      <c r="AY43" s="32"/>
      <c r="AZ43" s="32"/>
      <c r="BA43" s="32" t="s">
        <v>145</v>
      </c>
      <c r="BB43" s="32"/>
      <c r="BC43" s="32" t="s">
        <v>560</v>
      </c>
      <c r="BD43" s="32" t="s">
        <v>162</v>
      </c>
      <c r="BE43" s="32">
        <v>1</v>
      </c>
      <c r="BF43" s="39" t="s">
        <v>561</v>
      </c>
      <c r="BG43" s="32" t="s">
        <v>148</v>
      </c>
      <c r="BH43" s="36" t="s">
        <v>124</v>
      </c>
      <c r="BI43" s="36" t="s">
        <v>125</v>
      </c>
      <c r="BJ43" s="36" t="s">
        <v>126</v>
      </c>
      <c r="BK43" s="36" t="s">
        <v>127</v>
      </c>
      <c r="BL43" s="36" t="s">
        <v>128</v>
      </c>
      <c r="BM43" s="36" t="s">
        <v>129</v>
      </c>
      <c r="BN43" s="36" t="s">
        <v>562</v>
      </c>
      <c r="BO43" s="36" t="s">
        <v>563</v>
      </c>
      <c r="BP43" s="37"/>
      <c r="BQ43" s="32" t="s">
        <v>106</v>
      </c>
      <c r="BR43" s="32"/>
      <c r="BS43" s="32" t="s">
        <v>106</v>
      </c>
      <c r="BT43" s="32"/>
      <c r="BU43" s="32"/>
      <c r="BV43" s="32"/>
      <c r="BW43" s="36" t="s">
        <v>192</v>
      </c>
      <c r="BX43" s="39" t="s">
        <v>193</v>
      </c>
      <c r="BY43" s="39" t="s">
        <v>194</v>
      </c>
    </row>
    <row r="44" spans="1:77" s="84" customFormat="1" ht="21.95" customHeight="1">
      <c r="A44" s="80">
        <v>1</v>
      </c>
      <c r="B44" s="76" t="s">
        <v>92</v>
      </c>
      <c r="C44" s="30" t="s">
        <v>132</v>
      </c>
      <c r="D44" s="31" t="s">
        <v>498</v>
      </c>
      <c r="E44" s="31" t="s">
        <v>499</v>
      </c>
      <c r="F44" s="32" t="s">
        <v>564</v>
      </c>
      <c r="G44" s="32" t="s">
        <v>565</v>
      </c>
      <c r="H44" s="32" t="s">
        <v>182</v>
      </c>
      <c r="I44" s="33" t="s">
        <v>566</v>
      </c>
      <c r="J44" s="34" t="s">
        <v>100</v>
      </c>
      <c r="K44" s="34" t="s">
        <v>100</v>
      </c>
      <c r="L44" s="34" t="s">
        <v>100</v>
      </c>
      <c r="M44" s="34" t="s">
        <v>100</v>
      </c>
      <c r="N44" s="34" t="s">
        <v>100</v>
      </c>
      <c r="O44" s="35" t="s">
        <v>101</v>
      </c>
      <c r="P44" s="33" t="s">
        <v>567</v>
      </c>
      <c r="Q44" s="36" t="s">
        <v>568</v>
      </c>
      <c r="R44" s="33" t="s">
        <v>569</v>
      </c>
      <c r="S44" s="31" t="s">
        <v>140</v>
      </c>
      <c r="T44" s="37"/>
      <c r="U44" s="37"/>
      <c r="V44" s="37"/>
      <c r="W44" s="37"/>
      <c r="X44" s="37"/>
      <c r="Y44" s="37" t="s">
        <v>106</v>
      </c>
      <c r="Z44" s="32" t="s">
        <v>141</v>
      </c>
      <c r="AA44" s="32" t="s">
        <v>108</v>
      </c>
      <c r="AB44" s="37" t="s">
        <v>106</v>
      </c>
      <c r="AC44" s="37" t="s">
        <v>106</v>
      </c>
      <c r="AD44" s="37" t="s">
        <v>106</v>
      </c>
      <c r="AE44" s="37" t="s">
        <v>106</v>
      </c>
      <c r="AF44" s="37" t="s">
        <v>106</v>
      </c>
      <c r="AG44" s="37" t="s">
        <v>106</v>
      </c>
      <c r="AH44" s="32" t="s">
        <v>106</v>
      </c>
      <c r="AI44" s="31" t="s">
        <v>109</v>
      </c>
      <c r="AJ44" s="31" t="s">
        <v>142</v>
      </c>
      <c r="AK44" s="32" t="s">
        <v>111</v>
      </c>
      <c r="AL44" s="32" t="s">
        <v>112</v>
      </c>
      <c r="AM44" s="32" t="s">
        <v>111</v>
      </c>
      <c r="AN44" s="32" t="s">
        <v>114</v>
      </c>
      <c r="AO44" s="32" t="s">
        <v>114</v>
      </c>
      <c r="AP44" s="32" t="s">
        <v>114</v>
      </c>
      <c r="AQ44" s="32" t="s">
        <v>114</v>
      </c>
      <c r="AR44" s="32" t="s">
        <v>114</v>
      </c>
      <c r="AS44" s="32" t="s">
        <v>114</v>
      </c>
      <c r="AT44" s="32" t="s">
        <v>114</v>
      </c>
      <c r="AU44" s="32" t="s">
        <v>114</v>
      </c>
      <c r="AV44" s="38" t="s">
        <v>116</v>
      </c>
      <c r="AW44" s="36" t="s">
        <v>570</v>
      </c>
      <c r="AX44" s="36" t="s">
        <v>112</v>
      </c>
      <c r="AY44" s="32"/>
      <c r="AZ44" s="32"/>
      <c r="BA44" s="32" t="s">
        <v>145</v>
      </c>
      <c r="BB44" s="32"/>
      <c r="BC44" s="32" t="s">
        <v>571</v>
      </c>
      <c r="BD44" s="32" t="s">
        <v>162</v>
      </c>
      <c r="BE44" s="32">
        <v>1</v>
      </c>
      <c r="BF44" s="39" t="s">
        <v>572</v>
      </c>
      <c r="BG44" s="32" t="s">
        <v>148</v>
      </c>
      <c r="BH44" s="36" t="s">
        <v>124</v>
      </c>
      <c r="BI44" s="36" t="s">
        <v>125</v>
      </c>
      <c r="BJ44" s="36" t="s">
        <v>126</v>
      </c>
      <c r="BK44" s="36" t="s">
        <v>127</v>
      </c>
      <c r="BL44" s="36" t="s">
        <v>128</v>
      </c>
      <c r="BM44" s="36" t="s">
        <v>129</v>
      </c>
      <c r="BN44" s="36" t="s">
        <v>573</v>
      </c>
      <c r="BO44" s="36" t="s">
        <v>574</v>
      </c>
      <c r="BP44" s="37"/>
      <c r="BQ44" s="32" t="s">
        <v>106</v>
      </c>
      <c r="BR44" s="32"/>
      <c r="BS44" s="32" t="s">
        <v>106</v>
      </c>
      <c r="BT44" s="32"/>
      <c r="BU44" s="32"/>
      <c r="BV44" s="32"/>
      <c r="BW44" s="36" t="s">
        <v>192</v>
      </c>
      <c r="BX44" s="39" t="s">
        <v>193</v>
      </c>
      <c r="BY44" s="39" t="s">
        <v>194</v>
      </c>
    </row>
    <row r="45" spans="1:77" s="84" customFormat="1" ht="21.95" customHeight="1">
      <c r="A45" s="80">
        <v>7</v>
      </c>
      <c r="B45" s="76" t="s">
        <v>575</v>
      </c>
      <c r="C45" s="30" t="s">
        <v>576</v>
      </c>
      <c r="D45" s="31" t="s">
        <v>577</v>
      </c>
      <c r="E45" s="31" t="s">
        <v>578</v>
      </c>
      <c r="F45" s="32" t="s">
        <v>579</v>
      </c>
      <c r="G45" s="32" t="s">
        <v>580</v>
      </c>
      <c r="H45" s="32" t="s">
        <v>581</v>
      </c>
      <c r="I45" s="33" t="s">
        <v>582</v>
      </c>
      <c r="J45" s="34" t="s">
        <v>583</v>
      </c>
      <c r="K45" s="34" t="s">
        <v>584</v>
      </c>
      <c r="L45" s="34" t="s">
        <v>583</v>
      </c>
      <c r="M45" s="34" t="s">
        <v>583</v>
      </c>
      <c r="N45" s="34" t="s">
        <v>583</v>
      </c>
      <c r="O45" s="35" t="s">
        <v>101</v>
      </c>
      <c r="P45" s="33" t="s">
        <v>585</v>
      </c>
      <c r="Q45" s="36" t="s">
        <v>586</v>
      </c>
      <c r="R45" s="33" t="s">
        <v>587</v>
      </c>
      <c r="S45" s="31" t="s">
        <v>140</v>
      </c>
      <c r="T45" s="37" t="s">
        <v>588</v>
      </c>
      <c r="U45" s="37"/>
      <c r="V45" s="37"/>
      <c r="W45" s="37" t="s">
        <v>588</v>
      </c>
      <c r="X45" s="37"/>
      <c r="Y45" s="37" t="s">
        <v>588</v>
      </c>
      <c r="Z45" s="32" t="s">
        <v>141</v>
      </c>
      <c r="AA45" s="32" t="s">
        <v>589</v>
      </c>
      <c r="AB45" s="37" t="s">
        <v>106</v>
      </c>
      <c r="AC45" s="37" t="s">
        <v>106</v>
      </c>
      <c r="AD45" s="37" t="s">
        <v>106</v>
      </c>
      <c r="AE45" s="37"/>
      <c r="AF45" s="37"/>
      <c r="AG45" s="37" t="s">
        <v>106</v>
      </c>
      <c r="AH45" s="32"/>
      <c r="AI45" s="31" t="s">
        <v>590</v>
      </c>
      <c r="AJ45" s="31" t="s">
        <v>591</v>
      </c>
      <c r="AK45" s="32" t="s">
        <v>111</v>
      </c>
      <c r="AL45" s="32" t="s">
        <v>112</v>
      </c>
      <c r="AM45" s="32" t="s">
        <v>112</v>
      </c>
      <c r="AN45" s="32" t="s">
        <v>114</v>
      </c>
      <c r="AO45" s="32" t="s">
        <v>592</v>
      </c>
      <c r="AP45" s="32" t="s">
        <v>114</v>
      </c>
      <c r="AQ45" s="32" t="s">
        <v>114</v>
      </c>
      <c r="AR45" s="32" t="s">
        <v>114</v>
      </c>
      <c r="AS45" s="32" t="s">
        <v>114</v>
      </c>
      <c r="AT45" s="32" t="s">
        <v>114</v>
      </c>
      <c r="AU45" s="32" t="s">
        <v>114</v>
      </c>
      <c r="AV45" s="38" t="s">
        <v>116</v>
      </c>
      <c r="AW45" s="36" t="s">
        <v>593</v>
      </c>
      <c r="AX45" s="36" t="s">
        <v>594</v>
      </c>
      <c r="AY45" s="32"/>
      <c r="AZ45" s="32"/>
      <c r="BA45" s="32" t="s">
        <v>106</v>
      </c>
      <c r="BB45" s="32"/>
      <c r="BC45" s="32" t="s">
        <v>595</v>
      </c>
      <c r="BD45" s="32" t="s">
        <v>162</v>
      </c>
      <c r="BE45" s="32">
        <v>2</v>
      </c>
      <c r="BF45" s="39" t="s">
        <v>596</v>
      </c>
      <c r="BG45" s="32" t="s">
        <v>597</v>
      </c>
      <c r="BH45" s="36" t="s">
        <v>124</v>
      </c>
      <c r="BI45" s="36" t="s">
        <v>125</v>
      </c>
      <c r="BJ45" s="36" t="s">
        <v>126</v>
      </c>
      <c r="BK45" s="36" t="s">
        <v>127</v>
      </c>
      <c r="BL45" s="36" t="s">
        <v>128</v>
      </c>
      <c r="BM45" s="36" t="s">
        <v>129</v>
      </c>
      <c r="BN45" s="36" t="s">
        <v>598</v>
      </c>
      <c r="BO45" s="36" t="s">
        <v>599</v>
      </c>
      <c r="BP45" s="37"/>
      <c r="BQ45" s="32" t="s">
        <v>106</v>
      </c>
      <c r="BR45" s="32"/>
      <c r="BS45" s="32" t="s">
        <v>106</v>
      </c>
      <c r="BT45" s="32"/>
      <c r="BU45" s="32"/>
      <c r="BV45" s="32"/>
      <c r="BW45" s="36" t="s">
        <v>600</v>
      </c>
      <c r="BX45" s="39" t="s">
        <v>601</v>
      </c>
      <c r="BY45" s="39" t="s">
        <v>602</v>
      </c>
    </row>
    <row r="46" spans="1:77" s="84" customFormat="1" ht="21.95" customHeight="1">
      <c r="A46" s="80">
        <v>7</v>
      </c>
      <c r="B46" s="76" t="s">
        <v>575</v>
      </c>
      <c r="C46" s="30" t="s">
        <v>576</v>
      </c>
      <c r="D46" s="31" t="s">
        <v>577</v>
      </c>
      <c r="E46" s="31" t="s">
        <v>578</v>
      </c>
      <c r="F46" s="32" t="s">
        <v>579</v>
      </c>
      <c r="G46" s="32" t="s">
        <v>603</v>
      </c>
      <c r="H46" s="32" t="s">
        <v>581</v>
      </c>
      <c r="I46" s="33" t="s">
        <v>604</v>
      </c>
      <c r="J46" s="34" t="s">
        <v>583</v>
      </c>
      <c r="K46" s="34" t="s">
        <v>584</v>
      </c>
      <c r="L46" s="34" t="s">
        <v>583</v>
      </c>
      <c r="M46" s="34" t="s">
        <v>583</v>
      </c>
      <c r="N46" s="34" t="s">
        <v>583</v>
      </c>
      <c r="O46" s="35" t="s">
        <v>101</v>
      </c>
      <c r="P46" s="33" t="s">
        <v>605</v>
      </c>
      <c r="Q46" s="36" t="s">
        <v>606</v>
      </c>
      <c r="R46" s="33" t="s">
        <v>607</v>
      </c>
      <c r="S46" s="31" t="s">
        <v>140</v>
      </c>
      <c r="T46" s="37" t="s">
        <v>588</v>
      </c>
      <c r="U46" s="37" t="s">
        <v>588</v>
      </c>
      <c r="V46" s="37"/>
      <c r="W46" s="37"/>
      <c r="X46" s="37"/>
      <c r="Y46" s="37" t="s">
        <v>588</v>
      </c>
      <c r="Z46" s="32" t="s">
        <v>141</v>
      </c>
      <c r="AA46" s="32" t="s">
        <v>589</v>
      </c>
      <c r="AB46" s="37" t="s">
        <v>106</v>
      </c>
      <c r="AC46" s="37" t="s">
        <v>106</v>
      </c>
      <c r="AD46" s="37" t="s">
        <v>106</v>
      </c>
      <c r="AE46" s="37"/>
      <c r="AF46" s="37"/>
      <c r="AG46" s="37" t="s">
        <v>588</v>
      </c>
      <c r="AH46" s="32" t="s">
        <v>588</v>
      </c>
      <c r="AI46" s="31" t="s">
        <v>590</v>
      </c>
      <c r="AJ46" s="31" t="s">
        <v>591</v>
      </c>
      <c r="AK46" s="32" t="s">
        <v>111</v>
      </c>
      <c r="AL46" s="32" t="s">
        <v>112</v>
      </c>
      <c r="AM46" s="32" t="s">
        <v>112</v>
      </c>
      <c r="AN46" s="32" t="s">
        <v>114</v>
      </c>
      <c r="AO46" s="32" t="s">
        <v>592</v>
      </c>
      <c r="AP46" s="32" t="s">
        <v>114</v>
      </c>
      <c r="AQ46" s="32" t="s">
        <v>592</v>
      </c>
      <c r="AR46" s="32" t="s">
        <v>114</v>
      </c>
      <c r="AS46" s="32" t="s">
        <v>114</v>
      </c>
      <c r="AT46" s="32" t="s">
        <v>114</v>
      </c>
      <c r="AU46" s="32" t="s">
        <v>114</v>
      </c>
      <c r="AV46" s="38" t="s">
        <v>116</v>
      </c>
      <c r="AW46" s="36" t="s">
        <v>608</v>
      </c>
      <c r="AX46" s="36" t="s">
        <v>609</v>
      </c>
      <c r="AY46" s="32"/>
      <c r="AZ46" s="32"/>
      <c r="BA46" s="32" t="s">
        <v>106</v>
      </c>
      <c r="BB46" s="32"/>
      <c r="BC46" s="32" t="s">
        <v>595</v>
      </c>
      <c r="BD46" s="32" t="s">
        <v>162</v>
      </c>
      <c r="BE46" s="32">
        <v>2</v>
      </c>
      <c r="BF46" s="39" t="s">
        <v>610</v>
      </c>
      <c r="BG46" s="32" t="s">
        <v>148</v>
      </c>
      <c r="BH46" s="36" t="s">
        <v>124</v>
      </c>
      <c r="BI46" s="36" t="s">
        <v>125</v>
      </c>
      <c r="BJ46" s="36" t="s">
        <v>126</v>
      </c>
      <c r="BK46" s="36" t="s">
        <v>127</v>
      </c>
      <c r="BL46" s="36" t="s">
        <v>128</v>
      </c>
      <c r="BM46" s="36" t="s">
        <v>129</v>
      </c>
      <c r="BN46" s="36" t="s">
        <v>611</v>
      </c>
      <c r="BO46" s="36" t="s">
        <v>612</v>
      </c>
      <c r="BP46" s="37"/>
      <c r="BQ46" s="32" t="s">
        <v>106</v>
      </c>
      <c r="BR46" s="32"/>
      <c r="BS46" s="32" t="s">
        <v>106</v>
      </c>
      <c r="BT46" s="32"/>
      <c r="BU46" s="32"/>
      <c r="BV46" s="32"/>
      <c r="BW46" s="36" t="s">
        <v>613</v>
      </c>
      <c r="BX46" s="39" t="s">
        <v>614</v>
      </c>
      <c r="BY46" s="39" t="s">
        <v>615</v>
      </c>
    </row>
    <row r="47" spans="1:77" s="84" customFormat="1" ht="21.95" customHeight="1">
      <c r="A47" s="80">
        <v>13</v>
      </c>
      <c r="B47" s="76" t="s">
        <v>575</v>
      </c>
      <c r="C47" s="30" t="s">
        <v>576</v>
      </c>
      <c r="D47" s="31" t="s">
        <v>616</v>
      </c>
      <c r="E47" s="31" t="s">
        <v>617</v>
      </c>
      <c r="F47" s="32" t="s">
        <v>618</v>
      </c>
      <c r="G47" s="32" t="s">
        <v>619</v>
      </c>
      <c r="H47" s="32" t="s">
        <v>581</v>
      </c>
      <c r="I47" s="33" t="s">
        <v>620</v>
      </c>
      <c r="J47" s="34" t="s">
        <v>584</v>
      </c>
      <c r="K47" s="34" t="s">
        <v>584</v>
      </c>
      <c r="L47" s="34" t="s">
        <v>584</v>
      </c>
      <c r="M47" s="34" t="s">
        <v>584</v>
      </c>
      <c r="N47" s="34" t="s">
        <v>583</v>
      </c>
      <c r="O47" s="35" t="s">
        <v>621</v>
      </c>
      <c r="P47" s="33" t="s">
        <v>622</v>
      </c>
      <c r="Q47" s="36" t="s">
        <v>623</v>
      </c>
      <c r="R47" s="33" t="s">
        <v>624</v>
      </c>
      <c r="S47" s="31" t="s">
        <v>140</v>
      </c>
      <c r="T47" s="37" t="s">
        <v>588</v>
      </c>
      <c r="U47" s="37" t="s">
        <v>588</v>
      </c>
      <c r="V47" s="37"/>
      <c r="W47" s="37"/>
      <c r="X47" s="37"/>
      <c r="Y47" s="37"/>
      <c r="Z47" s="32" t="s">
        <v>141</v>
      </c>
      <c r="AA47" s="32" t="s">
        <v>589</v>
      </c>
      <c r="AB47" s="37"/>
      <c r="AC47" s="37"/>
      <c r="AD47" s="37" t="s">
        <v>106</v>
      </c>
      <c r="AE47" s="37" t="s">
        <v>106</v>
      </c>
      <c r="AF47" s="37" t="s">
        <v>106</v>
      </c>
      <c r="AG47" s="37" t="s">
        <v>106</v>
      </c>
      <c r="AH47" s="32" t="s">
        <v>106</v>
      </c>
      <c r="AI47" s="31" t="s">
        <v>590</v>
      </c>
      <c r="AJ47" s="31" t="s">
        <v>591</v>
      </c>
      <c r="AK47" s="32" t="s">
        <v>111</v>
      </c>
      <c r="AL47" s="32" t="s">
        <v>625</v>
      </c>
      <c r="AM47" s="32" t="s">
        <v>112</v>
      </c>
      <c r="AN47" s="32" t="s">
        <v>114</v>
      </c>
      <c r="AO47" s="32" t="s">
        <v>592</v>
      </c>
      <c r="AP47" s="32" t="s">
        <v>592</v>
      </c>
      <c r="AQ47" s="32" t="s">
        <v>592</v>
      </c>
      <c r="AR47" s="32" t="s">
        <v>114</v>
      </c>
      <c r="AS47" s="32" t="s">
        <v>592</v>
      </c>
      <c r="AT47" s="32" t="s">
        <v>592</v>
      </c>
      <c r="AU47" s="32" t="s">
        <v>114</v>
      </c>
      <c r="AV47" s="38" t="s">
        <v>626</v>
      </c>
      <c r="AW47" s="36" t="s">
        <v>627</v>
      </c>
      <c r="AX47" s="36" t="s">
        <v>628</v>
      </c>
      <c r="AY47" s="32"/>
      <c r="AZ47" s="32"/>
      <c r="BA47" s="32" t="s">
        <v>106</v>
      </c>
      <c r="BB47" s="32"/>
      <c r="BC47" s="32" t="s">
        <v>595</v>
      </c>
      <c r="BD47" s="32" t="s">
        <v>162</v>
      </c>
      <c r="BE47" s="32">
        <v>15</v>
      </c>
      <c r="BF47" s="39" t="s">
        <v>629</v>
      </c>
      <c r="BG47" s="32" t="s">
        <v>148</v>
      </c>
      <c r="BH47" s="36" t="s">
        <v>124</v>
      </c>
      <c r="BI47" s="36" t="s">
        <v>125</v>
      </c>
      <c r="BJ47" s="36" t="s">
        <v>126</v>
      </c>
      <c r="BK47" s="36" t="s">
        <v>127</v>
      </c>
      <c r="BL47" s="36" t="s">
        <v>128</v>
      </c>
      <c r="BM47" s="36" t="s">
        <v>129</v>
      </c>
      <c r="BN47" s="36" t="s">
        <v>630</v>
      </c>
      <c r="BO47" s="36" t="s">
        <v>631</v>
      </c>
      <c r="BP47" s="37"/>
      <c r="BQ47" s="32" t="s">
        <v>106</v>
      </c>
      <c r="BR47" s="32"/>
      <c r="BS47" s="32" t="s">
        <v>106</v>
      </c>
      <c r="BT47" s="32"/>
      <c r="BU47" s="32"/>
      <c r="BV47" s="32"/>
      <c r="BW47" s="36" t="s">
        <v>632</v>
      </c>
      <c r="BX47" s="39" t="s">
        <v>633</v>
      </c>
      <c r="BY47" s="39" t="s">
        <v>634</v>
      </c>
    </row>
    <row r="48" spans="1:77" s="84" customFormat="1" ht="21.95" customHeight="1">
      <c r="A48" s="80">
        <v>2</v>
      </c>
      <c r="B48" s="76" t="s">
        <v>575</v>
      </c>
      <c r="C48" s="30" t="s">
        <v>576</v>
      </c>
      <c r="D48" s="31" t="s">
        <v>616</v>
      </c>
      <c r="E48" s="31" t="s">
        <v>617</v>
      </c>
      <c r="F48" s="32" t="s">
        <v>635</v>
      </c>
      <c r="G48" s="32" t="s">
        <v>636</v>
      </c>
      <c r="H48" s="32" t="s">
        <v>637</v>
      </c>
      <c r="I48" s="33" t="s">
        <v>638</v>
      </c>
      <c r="J48" s="34" t="s">
        <v>583</v>
      </c>
      <c r="K48" s="34" t="s">
        <v>100</v>
      </c>
      <c r="L48" s="34" t="s">
        <v>584</v>
      </c>
      <c r="M48" s="34" t="s">
        <v>583</v>
      </c>
      <c r="N48" s="34" t="s">
        <v>639</v>
      </c>
      <c r="O48" s="35" t="s">
        <v>640</v>
      </c>
      <c r="P48" s="33" t="s">
        <v>641</v>
      </c>
      <c r="Q48" s="36" t="s">
        <v>642</v>
      </c>
      <c r="R48" s="33" t="s">
        <v>643</v>
      </c>
      <c r="S48" s="31" t="s">
        <v>257</v>
      </c>
      <c r="T48" s="37" t="s">
        <v>644</v>
      </c>
      <c r="U48" s="37" t="s">
        <v>588</v>
      </c>
      <c r="V48" s="37"/>
      <c r="W48" s="37" t="s">
        <v>588</v>
      </c>
      <c r="X48" s="37" t="s">
        <v>588</v>
      </c>
      <c r="Y48" s="37"/>
      <c r="Z48" s="32" t="s">
        <v>141</v>
      </c>
      <c r="AA48" s="32" t="s">
        <v>589</v>
      </c>
      <c r="AB48" s="37" t="s">
        <v>106</v>
      </c>
      <c r="AC48" s="37" t="s">
        <v>106</v>
      </c>
      <c r="AD48" s="37" t="s">
        <v>106</v>
      </c>
      <c r="AE48" s="37" t="s">
        <v>106</v>
      </c>
      <c r="AF48" s="37"/>
      <c r="AG48" s="37"/>
      <c r="AH48" s="32" t="s">
        <v>106</v>
      </c>
      <c r="AI48" s="31" t="s">
        <v>645</v>
      </c>
      <c r="AJ48" s="31" t="s">
        <v>646</v>
      </c>
      <c r="AK48" s="32" t="s">
        <v>647</v>
      </c>
      <c r="AL48" s="32" t="s">
        <v>625</v>
      </c>
      <c r="AM48" s="32" t="s">
        <v>648</v>
      </c>
      <c r="AN48" s="32" t="s">
        <v>592</v>
      </c>
      <c r="AO48" s="32" t="s">
        <v>114</v>
      </c>
      <c r="AP48" s="32" t="s">
        <v>592</v>
      </c>
      <c r="AQ48" s="32" t="s">
        <v>114</v>
      </c>
      <c r="AR48" s="32" t="s">
        <v>115</v>
      </c>
      <c r="AS48" s="32" t="s">
        <v>114</v>
      </c>
      <c r="AT48" s="32" t="s">
        <v>114</v>
      </c>
      <c r="AU48" s="32" t="s">
        <v>114</v>
      </c>
      <c r="AV48" s="38" t="s">
        <v>116</v>
      </c>
      <c r="AW48" s="36" t="s">
        <v>649</v>
      </c>
      <c r="AX48" s="36" t="s">
        <v>650</v>
      </c>
      <c r="AY48" s="32"/>
      <c r="AZ48" s="32"/>
      <c r="BA48" s="32" t="s">
        <v>106</v>
      </c>
      <c r="BB48" s="32"/>
      <c r="BC48" s="32" t="s">
        <v>651</v>
      </c>
      <c r="BD48" s="32" t="s">
        <v>162</v>
      </c>
      <c r="BE48" s="32">
        <v>2</v>
      </c>
      <c r="BF48" s="39" t="s">
        <v>652</v>
      </c>
      <c r="BG48" s="32" t="s">
        <v>148</v>
      </c>
      <c r="BH48" s="36" t="s">
        <v>124</v>
      </c>
      <c r="BI48" s="36" t="s">
        <v>125</v>
      </c>
      <c r="BJ48" s="36" t="s">
        <v>126</v>
      </c>
      <c r="BK48" s="36" t="s">
        <v>127</v>
      </c>
      <c r="BL48" s="36" t="s">
        <v>128</v>
      </c>
      <c r="BM48" s="36" t="s">
        <v>129</v>
      </c>
      <c r="BN48" s="36" t="s">
        <v>653</v>
      </c>
      <c r="BO48" s="36" t="s">
        <v>654</v>
      </c>
      <c r="BP48" s="37"/>
      <c r="BQ48" s="32" t="s">
        <v>106</v>
      </c>
      <c r="BR48" s="32"/>
      <c r="BS48" s="32" t="s">
        <v>106</v>
      </c>
      <c r="BT48" s="32"/>
      <c r="BU48" s="32"/>
      <c r="BV48" s="32"/>
      <c r="BW48" s="36" t="s">
        <v>655</v>
      </c>
      <c r="BX48" s="39" t="s">
        <v>656</v>
      </c>
      <c r="BY48" s="39" t="s">
        <v>657</v>
      </c>
    </row>
    <row r="49" spans="1:77" s="84" customFormat="1" ht="21.95" customHeight="1">
      <c r="A49" s="80">
        <v>2</v>
      </c>
      <c r="B49" s="76" t="s">
        <v>575</v>
      </c>
      <c r="C49" s="30" t="s">
        <v>576</v>
      </c>
      <c r="D49" s="31" t="s">
        <v>658</v>
      </c>
      <c r="E49" s="31" t="s">
        <v>659</v>
      </c>
      <c r="F49" s="32" t="s">
        <v>660</v>
      </c>
      <c r="G49" s="32" t="s">
        <v>661</v>
      </c>
      <c r="H49" s="32" t="s">
        <v>637</v>
      </c>
      <c r="I49" s="33" t="s">
        <v>662</v>
      </c>
      <c r="J49" s="34" t="s">
        <v>583</v>
      </c>
      <c r="K49" s="34" t="s">
        <v>583</v>
      </c>
      <c r="L49" s="34" t="s">
        <v>583</v>
      </c>
      <c r="M49" s="34" t="s">
        <v>583</v>
      </c>
      <c r="N49" s="34" t="s">
        <v>583</v>
      </c>
      <c r="O49" s="35" t="s">
        <v>101</v>
      </c>
      <c r="P49" s="33" t="s">
        <v>663</v>
      </c>
      <c r="Q49" s="36" t="s">
        <v>664</v>
      </c>
      <c r="R49" s="33" t="s">
        <v>665</v>
      </c>
      <c r="S49" s="31" t="s">
        <v>140</v>
      </c>
      <c r="T49" s="37" t="s">
        <v>588</v>
      </c>
      <c r="U49" s="37" t="s">
        <v>588</v>
      </c>
      <c r="V49" s="37"/>
      <c r="W49" s="37"/>
      <c r="X49" s="37"/>
      <c r="Y49" s="37" t="s">
        <v>588</v>
      </c>
      <c r="Z49" s="32" t="s">
        <v>141</v>
      </c>
      <c r="AA49" s="32" t="s">
        <v>589</v>
      </c>
      <c r="AB49" s="37"/>
      <c r="AC49" s="37"/>
      <c r="AD49" s="37" t="s">
        <v>644</v>
      </c>
      <c r="AE49" s="37" t="s">
        <v>588</v>
      </c>
      <c r="AF49" s="37"/>
      <c r="AG49" s="37"/>
      <c r="AH49" s="32" t="s">
        <v>588</v>
      </c>
      <c r="AI49" s="31" t="s">
        <v>666</v>
      </c>
      <c r="AJ49" s="31" t="s">
        <v>589</v>
      </c>
      <c r="AK49" s="32" t="s">
        <v>111</v>
      </c>
      <c r="AL49" s="32" t="s">
        <v>112</v>
      </c>
      <c r="AM49" s="32" t="s">
        <v>111</v>
      </c>
      <c r="AN49" s="32" t="s">
        <v>114</v>
      </c>
      <c r="AO49" s="32" t="s">
        <v>592</v>
      </c>
      <c r="AP49" s="32" t="s">
        <v>114</v>
      </c>
      <c r="AQ49" s="32" t="s">
        <v>592</v>
      </c>
      <c r="AR49" s="32" t="s">
        <v>114</v>
      </c>
      <c r="AS49" s="32" t="s">
        <v>592</v>
      </c>
      <c r="AT49" s="32" t="s">
        <v>592</v>
      </c>
      <c r="AU49" s="32" t="s">
        <v>115</v>
      </c>
      <c r="AV49" s="38" t="s">
        <v>626</v>
      </c>
      <c r="AW49" s="36" t="s">
        <v>667</v>
      </c>
      <c r="AX49" s="36" t="s">
        <v>668</v>
      </c>
      <c r="AY49" s="32"/>
      <c r="AZ49" s="32"/>
      <c r="BA49" s="32" t="s">
        <v>106</v>
      </c>
      <c r="BB49" s="32"/>
      <c r="BC49" s="32" t="s">
        <v>595</v>
      </c>
      <c r="BD49" s="32" t="s">
        <v>162</v>
      </c>
      <c r="BE49" s="32">
        <v>2</v>
      </c>
      <c r="BF49" s="39" t="s">
        <v>669</v>
      </c>
      <c r="BG49" s="32" t="s">
        <v>670</v>
      </c>
      <c r="BH49" s="36" t="s">
        <v>124</v>
      </c>
      <c r="BI49" s="36" t="s">
        <v>125</v>
      </c>
      <c r="BJ49" s="36" t="s">
        <v>126</v>
      </c>
      <c r="BK49" s="36" t="s">
        <v>127</v>
      </c>
      <c r="BL49" s="36" t="s">
        <v>128</v>
      </c>
      <c r="BM49" s="36" t="s">
        <v>129</v>
      </c>
      <c r="BN49" s="36" t="s">
        <v>671</v>
      </c>
      <c r="BO49" s="36" t="s">
        <v>672</v>
      </c>
      <c r="BP49" s="37"/>
      <c r="BQ49" s="32" t="s">
        <v>106</v>
      </c>
      <c r="BR49" s="32"/>
      <c r="BS49" s="32" t="s">
        <v>106</v>
      </c>
      <c r="BT49" s="32"/>
      <c r="BU49" s="32"/>
      <c r="BV49" s="32"/>
      <c r="BW49" s="36" t="s">
        <v>673</v>
      </c>
      <c r="BX49" s="39" t="s">
        <v>674</v>
      </c>
      <c r="BY49" s="39" t="s">
        <v>675</v>
      </c>
    </row>
    <row r="50" spans="1:77" s="81" customFormat="1" ht="21.95" customHeight="1">
      <c r="A50" s="60">
        <v>3</v>
      </c>
      <c r="B50" s="78" t="s">
        <v>575</v>
      </c>
      <c r="C50" s="50" t="s">
        <v>576</v>
      </c>
      <c r="D50" s="51" t="s">
        <v>658</v>
      </c>
      <c r="E50" s="51" t="s">
        <v>659</v>
      </c>
      <c r="F50" s="52" t="s">
        <v>676</v>
      </c>
      <c r="G50" s="52" t="s">
        <v>677</v>
      </c>
      <c r="H50" s="52" t="s">
        <v>637</v>
      </c>
      <c r="I50" s="53" t="s">
        <v>678</v>
      </c>
      <c r="J50" s="54" t="s">
        <v>584</v>
      </c>
      <c r="K50" s="54" t="s">
        <v>584</v>
      </c>
      <c r="L50" s="54" t="s">
        <v>583</v>
      </c>
      <c r="M50" s="54" t="s">
        <v>583</v>
      </c>
      <c r="N50" s="54" t="s">
        <v>583</v>
      </c>
      <c r="O50" s="55" t="s">
        <v>640</v>
      </c>
      <c r="P50" s="53" t="s">
        <v>679</v>
      </c>
      <c r="Q50" s="56" t="s">
        <v>680</v>
      </c>
      <c r="R50" s="53" t="s">
        <v>681</v>
      </c>
      <c r="S50" s="51" t="s">
        <v>140</v>
      </c>
      <c r="T50" s="57"/>
      <c r="U50" s="57" t="s">
        <v>588</v>
      </c>
      <c r="V50" s="57"/>
      <c r="W50" s="57"/>
      <c r="X50" s="57" t="s">
        <v>588</v>
      </c>
      <c r="Y50" s="57"/>
      <c r="Z50" s="52" t="s">
        <v>141</v>
      </c>
      <c r="AA50" s="52" t="s">
        <v>589</v>
      </c>
      <c r="AB50" s="57"/>
      <c r="AC50" s="57"/>
      <c r="AD50" s="57" t="s">
        <v>588</v>
      </c>
      <c r="AE50" s="57" t="s">
        <v>588</v>
      </c>
      <c r="AF50" s="57"/>
      <c r="AG50" s="57" t="s">
        <v>588</v>
      </c>
      <c r="AH50" s="52" t="s">
        <v>588</v>
      </c>
      <c r="AI50" s="51" t="s">
        <v>666</v>
      </c>
      <c r="AJ50" s="51" t="s">
        <v>589</v>
      </c>
      <c r="AK50" s="52" t="s">
        <v>111</v>
      </c>
      <c r="AL50" s="52" t="s">
        <v>625</v>
      </c>
      <c r="AM50" s="52" t="s">
        <v>111</v>
      </c>
      <c r="AN50" s="52" t="s">
        <v>114</v>
      </c>
      <c r="AO50" s="52" t="s">
        <v>592</v>
      </c>
      <c r="AP50" s="52" t="s">
        <v>114</v>
      </c>
      <c r="AQ50" s="52" t="s">
        <v>114</v>
      </c>
      <c r="AR50" s="52" t="s">
        <v>114</v>
      </c>
      <c r="AS50" s="52" t="s">
        <v>592</v>
      </c>
      <c r="AT50" s="52" t="s">
        <v>592</v>
      </c>
      <c r="AU50" s="52" t="s">
        <v>114</v>
      </c>
      <c r="AV50" s="58" t="s">
        <v>116</v>
      </c>
      <c r="AW50" s="56" t="s">
        <v>1484</v>
      </c>
      <c r="AX50" s="56" t="s">
        <v>1485</v>
      </c>
      <c r="AY50" s="52"/>
      <c r="AZ50" s="52"/>
      <c r="BA50" s="52" t="s">
        <v>106</v>
      </c>
      <c r="BB50" s="52"/>
      <c r="BC50" s="52" t="s">
        <v>682</v>
      </c>
      <c r="BD50" s="52" t="s">
        <v>162</v>
      </c>
      <c r="BE50" s="52">
        <v>2</v>
      </c>
      <c r="BF50" s="59" t="s">
        <v>683</v>
      </c>
      <c r="BG50" s="52" t="s">
        <v>670</v>
      </c>
      <c r="BH50" s="56" t="s">
        <v>124</v>
      </c>
      <c r="BI50" s="56" t="s">
        <v>125</v>
      </c>
      <c r="BJ50" s="56" t="s">
        <v>126</v>
      </c>
      <c r="BK50" s="56" t="s">
        <v>127</v>
      </c>
      <c r="BL50" s="56" t="s">
        <v>128</v>
      </c>
      <c r="BM50" s="56" t="s">
        <v>129</v>
      </c>
      <c r="BN50" s="56" t="s">
        <v>684</v>
      </c>
      <c r="BO50" s="56" t="s">
        <v>685</v>
      </c>
      <c r="BP50" s="57"/>
      <c r="BQ50" s="52" t="s">
        <v>106</v>
      </c>
      <c r="BR50" s="52"/>
      <c r="BS50" s="52" t="s">
        <v>106</v>
      </c>
      <c r="BT50" s="52"/>
      <c r="BU50" s="52"/>
      <c r="BV50" s="52"/>
      <c r="BW50" s="56"/>
      <c r="BX50" s="59"/>
      <c r="BY50" s="59"/>
    </row>
    <row r="51" spans="1:77" s="81" customFormat="1" ht="21.95" customHeight="1">
      <c r="A51" s="60">
        <v>2</v>
      </c>
      <c r="B51" s="77" t="s">
        <v>575</v>
      </c>
      <c r="C51" s="41" t="s">
        <v>576</v>
      </c>
      <c r="D51" s="42" t="s">
        <v>658</v>
      </c>
      <c r="E51" s="42" t="s">
        <v>659</v>
      </c>
      <c r="F51" s="43" t="s">
        <v>686</v>
      </c>
      <c r="G51" s="43" t="s">
        <v>687</v>
      </c>
      <c r="H51" s="43" t="s">
        <v>546</v>
      </c>
      <c r="I51" s="44" t="s">
        <v>688</v>
      </c>
      <c r="J51" s="45" t="s">
        <v>689</v>
      </c>
      <c r="K51" s="45" t="s">
        <v>690</v>
      </c>
      <c r="L51" s="45" t="s">
        <v>639</v>
      </c>
      <c r="M51" s="45" t="s">
        <v>691</v>
      </c>
      <c r="N51" s="45" t="s">
        <v>639</v>
      </c>
      <c r="O51" s="46" t="s">
        <v>640</v>
      </c>
      <c r="P51" s="44" t="s">
        <v>692</v>
      </c>
      <c r="Q51" s="40" t="s">
        <v>693</v>
      </c>
      <c r="R51" s="44" t="s">
        <v>694</v>
      </c>
      <c r="S51" s="42" t="s">
        <v>257</v>
      </c>
      <c r="T51" s="47" t="s">
        <v>644</v>
      </c>
      <c r="U51" s="47" t="s">
        <v>644</v>
      </c>
      <c r="V51" s="47"/>
      <c r="W51" s="47" t="s">
        <v>644</v>
      </c>
      <c r="X51" s="47" t="s">
        <v>644</v>
      </c>
      <c r="Y51" s="47"/>
      <c r="Z51" s="43" t="s">
        <v>107</v>
      </c>
      <c r="AA51" s="43" t="s">
        <v>695</v>
      </c>
      <c r="AB51" s="47" t="s">
        <v>106</v>
      </c>
      <c r="AC51" s="47" t="s">
        <v>106</v>
      </c>
      <c r="AD51" s="47" t="s">
        <v>106</v>
      </c>
      <c r="AE51" s="47" t="s">
        <v>106</v>
      </c>
      <c r="AF51" s="47"/>
      <c r="AG51" s="47"/>
      <c r="AH51" s="43" t="s">
        <v>106</v>
      </c>
      <c r="AI51" s="42" t="s">
        <v>696</v>
      </c>
      <c r="AJ51" s="42" t="s">
        <v>697</v>
      </c>
      <c r="AK51" s="43" t="s">
        <v>698</v>
      </c>
      <c r="AL51" s="43" t="s">
        <v>699</v>
      </c>
      <c r="AM51" s="43" t="s">
        <v>700</v>
      </c>
      <c r="AN51" s="43" t="s">
        <v>701</v>
      </c>
      <c r="AO51" s="43" t="s">
        <v>702</v>
      </c>
      <c r="AP51" s="43" t="s">
        <v>701</v>
      </c>
      <c r="AQ51" s="43" t="s">
        <v>115</v>
      </c>
      <c r="AR51" s="43" t="s">
        <v>115</v>
      </c>
      <c r="AS51" s="43" t="s">
        <v>701</v>
      </c>
      <c r="AT51" s="43" t="s">
        <v>115</v>
      </c>
      <c r="AU51" s="43" t="s">
        <v>115</v>
      </c>
      <c r="AV51" s="48" t="s">
        <v>626</v>
      </c>
      <c r="AW51" s="40" t="s">
        <v>703</v>
      </c>
      <c r="AX51" s="40" t="s">
        <v>704</v>
      </c>
      <c r="AY51" s="43"/>
      <c r="AZ51" s="43"/>
      <c r="BA51" s="43" t="s">
        <v>106</v>
      </c>
      <c r="BB51" s="43"/>
      <c r="BC51" s="43" t="s">
        <v>705</v>
      </c>
      <c r="BD51" s="43" t="s">
        <v>121</v>
      </c>
      <c r="BE51" s="43">
        <v>2</v>
      </c>
      <c r="BF51" s="49" t="s">
        <v>706</v>
      </c>
      <c r="BG51" s="43" t="s">
        <v>264</v>
      </c>
      <c r="BH51" s="40" t="s">
        <v>124</v>
      </c>
      <c r="BI51" s="40" t="s">
        <v>125</v>
      </c>
      <c r="BJ51" s="40" t="s">
        <v>126</v>
      </c>
      <c r="BK51" s="40" t="s">
        <v>127</v>
      </c>
      <c r="BL51" s="40" t="s">
        <v>128</v>
      </c>
      <c r="BM51" s="40" t="s">
        <v>129</v>
      </c>
      <c r="BN51" s="40" t="s">
        <v>707</v>
      </c>
      <c r="BO51" s="40" t="s">
        <v>708</v>
      </c>
      <c r="BP51" s="47"/>
      <c r="BQ51" s="43" t="s">
        <v>106</v>
      </c>
      <c r="BR51" s="43"/>
      <c r="BS51" s="43" t="s">
        <v>106</v>
      </c>
      <c r="BT51" s="43"/>
      <c r="BU51" s="43"/>
      <c r="BV51" s="43"/>
      <c r="BW51" s="40" t="s">
        <v>709</v>
      </c>
      <c r="BX51" s="49" t="s">
        <v>710</v>
      </c>
      <c r="BY51" s="49" t="s">
        <v>711</v>
      </c>
    </row>
    <row r="52" spans="1:77" s="81" customFormat="1" ht="21.95" customHeight="1">
      <c r="A52" s="60">
        <v>1</v>
      </c>
      <c r="B52" s="77" t="s">
        <v>575</v>
      </c>
      <c r="C52" s="41" t="s">
        <v>576</v>
      </c>
      <c r="D52" s="42" t="s">
        <v>712</v>
      </c>
      <c r="E52" s="42" t="s">
        <v>713</v>
      </c>
      <c r="F52" s="43" t="s">
        <v>714</v>
      </c>
      <c r="G52" s="43" t="s">
        <v>715</v>
      </c>
      <c r="H52" s="43" t="s">
        <v>1501</v>
      </c>
      <c r="I52" s="44" t="s">
        <v>716</v>
      </c>
      <c r="J52" s="45" t="s">
        <v>689</v>
      </c>
      <c r="K52" s="45" t="s">
        <v>690</v>
      </c>
      <c r="L52" s="45" t="s">
        <v>691</v>
      </c>
      <c r="M52" s="45" t="s">
        <v>691</v>
      </c>
      <c r="N52" s="45" t="s">
        <v>689</v>
      </c>
      <c r="O52" s="46" t="s">
        <v>101</v>
      </c>
      <c r="P52" s="44" t="s">
        <v>717</v>
      </c>
      <c r="Q52" s="40" t="s">
        <v>718</v>
      </c>
      <c r="R52" s="44" t="s">
        <v>719</v>
      </c>
      <c r="S52" s="42" t="s">
        <v>257</v>
      </c>
      <c r="T52" s="47"/>
      <c r="U52" s="47" t="s">
        <v>644</v>
      </c>
      <c r="V52" s="47" t="s">
        <v>644</v>
      </c>
      <c r="W52" s="47" t="s">
        <v>644</v>
      </c>
      <c r="X52" s="47"/>
      <c r="Y52" s="47" t="s">
        <v>644</v>
      </c>
      <c r="Z52" s="43" t="s">
        <v>107</v>
      </c>
      <c r="AA52" s="43" t="s">
        <v>695</v>
      </c>
      <c r="AB52" s="47"/>
      <c r="AC52" s="47"/>
      <c r="AD52" s="47" t="s">
        <v>106</v>
      </c>
      <c r="AE52" s="47"/>
      <c r="AF52" s="47" t="s">
        <v>106</v>
      </c>
      <c r="AG52" s="47"/>
      <c r="AH52" s="43" t="s">
        <v>106</v>
      </c>
      <c r="AI52" s="42" t="s">
        <v>720</v>
      </c>
      <c r="AJ52" s="42" t="s">
        <v>721</v>
      </c>
      <c r="AK52" s="43" t="s">
        <v>111</v>
      </c>
      <c r="AL52" s="43" t="s">
        <v>699</v>
      </c>
      <c r="AM52" s="43" t="s">
        <v>111</v>
      </c>
      <c r="AN52" s="43" t="s">
        <v>115</v>
      </c>
      <c r="AO52" s="43" t="s">
        <v>115</v>
      </c>
      <c r="AP52" s="43" t="s">
        <v>114</v>
      </c>
      <c r="AQ52" s="43" t="s">
        <v>114</v>
      </c>
      <c r="AR52" s="43" t="s">
        <v>115</v>
      </c>
      <c r="AS52" s="43" t="s">
        <v>113</v>
      </c>
      <c r="AT52" s="43" t="s">
        <v>114</v>
      </c>
      <c r="AU52" s="43" t="s">
        <v>114</v>
      </c>
      <c r="AV52" s="48" t="s">
        <v>116</v>
      </c>
      <c r="AW52" s="40" t="s">
        <v>1537</v>
      </c>
      <c r="AX52" s="40" t="s">
        <v>722</v>
      </c>
      <c r="AY52" s="43"/>
      <c r="AZ52" s="43"/>
      <c r="BA52" s="43" t="s">
        <v>106</v>
      </c>
      <c r="BB52" s="43"/>
      <c r="BC52" s="43" t="s">
        <v>723</v>
      </c>
      <c r="BD52" s="43" t="s">
        <v>121</v>
      </c>
      <c r="BE52" s="43">
        <v>1</v>
      </c>
      <c r="BF52" s="49" t="s">
        <v>724</v>
      </c>
      <c r="BG52" s="43" t="s">
        <v>725</v>
      </c>
      <c r="BH52" s="40" t="s">
        <v>124</v>
      </c>
      <c r="BI52" s="40" t="s">
        <v>125</v>
      </c>
      <c r="BJ52" s="40" t="s">
        <v>126</v>
      </c>
      <c r="BK52" s="40" t="s">
        <v>127</v>
      </c>
      <c r="BL52" s="40" t="s">
        <v>128</v>
      </c>
      <c r="BM52" s="40" t="s">
        <v>129</v>
      </c>
      <c r="BN52" s="40" t="s">
        <v>726</v>
      </c>
      <c r="BO52" s="40" t="s">
        <v>727</v>
      </c>
      <c r="BP52" s="47"/>
      <c r="BQ52" s="43" t="s">
        <v>106</v>
      </c>
      <c r="BR52" s="43"/>
      <c r="BS52" s="43" t="s">
        <v>106</v>
      </c>
      <c r="BT52" s="43"/>
      <c r="BU52" s="43"/>
      <c r="BV52" s="43"/>
      <c r="BW52" s="40" t="s">
        <v>728</v>
      </c>
      <c r="BX52" s="49" t="s">
        <v>729</v>
      </c>
      <c r="BY52" s="49" t="s">
        <v>730</v>
      </c>
    </row>
    <row r="53" spans="1:77" s="81" customFormat="1" ht="21.95" customHeight="1">
      <c r="A53" s="60">
        <v>7</v>
      </c>
      <c r="B53" s="77" t="s">
        <v>731</v>
      </c>
      <c r="C53" s="41" t="s">
        <v>732</v>
      </c>
      <c r="D53" s="42" t="s">
        <v>733</v>
      </c>
      <c r="E53" s="42" t="s">
        <v>734</v>
      </c>
      <c r="F53" s="43" t="s">
        <v>735</v>
      </c>
      <c r="G53" s="43" t="s">
        <v>736</v>
      </c>
      <c r="H53" s="43" t="s">
        <v>637</v>
      </c>
      <c r="I53" s="44" t="s">
        <v>737</v>
      </c>
      <c r="J53" s="45" t="s">
        <v>100</v>
      </c>
      <c r="K53" s="45" t="s">
        <v>738</v>
      </c>
      <c r="L53" s="45" t="s">
        <v>100</v>
      </c>
      <c r="M53" s="45" t="s">
        <v>100</v>
      </c>
      <c r="N53" s="45" t="s">
        <v>100</v>
      </c>
      <c r="O53" s="46" t="s">
        <v>101</v>
      </c>
      <c r="P53" s="44" t="s">
        <v>739</v>
      </c>
      <c r="Q53" s="40" t="s">
        <v>740</v>
      </c>
      <c r="R53" s="44" t="s">
        <v>741</v>
      </c>
      <c r="S53" s="42" t="s">
        <v>257</v>
      </c>
      <c r="T53" s="47"/>
      <c r="U53" s="47" t="s">
        <v>106</v>
      </c>
      <c r="V53" s="47"/>
      <c r="W53" s="47"/>
      <c r="X53" s="47" t="s">
        <v>106</v>
      </c>
      <c r="Y53" s="47" t="s">
        <v>106</v>
      </c>
      <c r="Z53" s="43" t="s">
        <v>141</v>
      </c>
      <c r="AA53" s="43" t="s">
        <v>108</v>
      </c>
      <c r="AB53" s="47" t="s">
        <v>106</v>
      </c>
      <c r="AC53" s="47"/>
      <c r="AD53" s="47" t="s">
        <v>106</v>
      </c>
      <c r="AE53" s="47"/>
      <c r="AF53" s="47"/>
      <c r="AG53" s="47" t="s">
        <v>106</v>
      </c>
      <c r="AH53" s="43"/>
      <c r="AI53" s="42" t="s">
        <v>742</v>
      </c>
      <c r="AJ53" s="42" t="s">
        <v>743</v>
      </c>
      <c r="AK53" s="43" t="s">
        <v>111</v>
      </c>
      <c r="AL53" s="43" t="s">
        <v>699</v>
      </c>
      <c r="AM53" s="43" t="s">
        <v>111</v>
      </c>
      <c r="AN53" s="43" t="s">
        <v>744</v>
      </c>
      <c r="AO53" s="43" t="s">
        <v>701</v>
      </c>
      <c r="AP53" s="43" t="s">
        <v>115</v>
      </c>
      <c r="AQ53" s="43" t="s">
        <v>115</v>
      </c>
      <c r="AR53" s="43" t="s">
        <v>115</v>
      </c>
      <c r="AS53" s="43" t="s">
        <v>114</v>
      </c>
      <c r="AT53" s="43" t="s">
        <v>113</v>
      </c>
      <c r="AU53" s="43" t="s">
        <v>114</v>
      </c>
      <c r="AV53" s="48" t="s">
        <v>116</v>
      </c>
      <c r="AW53" s="40" t="s">
        <v>1486</v>
      </c>
      <c r="AX53" s="40" t="s">
        <v>745</v>
      </c>
      <c r="AY53" s="43"/>
      <c r="AZ53" s="43"/>
      <c r="BA53" s="43" t="s">
        <v>106</v>
      </c>
      <c r="BB53" s="43"/>
      <c r="BC53" s="43" t="s">
        <v>746</v>
      </c>
      <c r="BD53" s="43" t="s">
        <v>121</v>
      </c>
      <c r="BE53" s="43">
        <v>7</v>
      </c>
      <c r="BF53" s="49" t="s">
        <v>747</v>
      </c>
      <c r="BG53" s="43" t="s">
        <v>748</v>
      </c>
      <c r="BH53" s="40" t="s">
        <v>124</v>
      </c>
      <c r="BI53" s="40" t="s">
        <v>125</v>
      </c>
      <c r="BJ53" s="40" t="s">
        <v>126</v>
      </c>
      <c r="BK53" s="40" t="s">
        <v>127</v>
      </c>
      <c r="BL53" s="40" t="s">
        <v>128</v>
      </c>
      <c r="BM53" s="40" t="s">
        <v>129</v>
      </c>
      <c r="BN53" s="40" t="s">
        <v>749</v>
      </c>
      <c r="BO53" s="40" t="s">
        <v>750</v>
      </c>
      <c r="BP53" s="47"/>
      <c r="BQ53" s="43" t="s">
        <v>106</v>
      </c>
      <c r="BR53" s="43"/>
      <c r="BS53" s="43" t="s">
        <v>106</v>
      </c>
      <c r="BT53" s="43"/>
      <c r="BU53" s="43"/>
      <c r="BV53" s="43"/>
      <c r="BW53" s="40" t="s">
        <v>751</v>
      </c>
      <c r="BX53" s="49" t="s">
        <v>752</v>
      </c>
      <c r="BY53" s="49" t="s">
        <v>753</v>
      </c>
    </row>
    <row r="54" spans="1:77" s="81" customFormat="1" ht="21.95" customHeight="1">
      <c r="A54" s="60">
        <v>7</v>
      </c>
      <c r="B54" s="77" t="s">
        <v>731</v>
      </c>
      <c r="C54" s="41" t="s">
        <v>732</v>
      </c>
      <c r="D54" s="42" t="s">
        <v>754</v>
      </c>
      <c r="E54" s="42" t="s">
        <v>734</v>
      </c>
      <c r="F54" s="43" t="s">
        <v>755</v>
      </c>
      <c r="G54" s="43" t="s">
        <v>756</v>
      </c>
      <c r="H54" s="43" t="s">
        <v>637</v>
      </c>
      <c r="I54" s="44" t="s">
        <v>737</v>
      </c>
      <c r="J54" s="45" t="s">
        <v>100</v>
      </c>
      <c r="K54" s="45" t="s">
        <v>738</v>
      </c>
      <c r="L54" s="45" t="s">
        <v>100</v>
      </c>
      <c r="M54" s="45" t="s">
        <v>100</v>
      </c>
      <c r="N54" s="45" t="s">
        <v>100</v>
      </c>
      <c r="O54" s="46" t="s">
        <v>101</v>
      </c>
      <c r="P54" s="44" t="s">
        <v>757</v>
      </c>
      <c r="Q54" s="40" t="s">
        <v>758</v>
      </c>
      <c r="R54" s="44" t="s">
        <v>759</v>
      </c>
      <c r="S54" s="42" t="s">
        <v>105</v>
      </c>
      <c r="T54" s="47" t="s">
        <v>106</v>
      </c>
      <c r="U54" s="47" t="s">
        <v>106</v>
      </c>
      <c r="V54" s="47"/>
      <c r="W54" s="47"/>
      <c r="X54" s="47" t="s">
        <v>106</v>
      </c>
      <c r="Y54" s="47" t="s">
        <v>106</v>
      </c>
      <c r="Z54" s="43" t="s">
        <v>141</v>
      </c>
      <c r="AA54" s="43" t="s">
        <v>108</v>
      </c>
      <c r="AB54" s="47" t="s">
        <v>106</v>
      </c>
      <c r="AC54" s="47" t="s">
        <v>106</v>
      </c>
      <c r="AD54" s="47"/>
      <c r="AE54" s="47"/>
      <c r="AF54" s="47"/>
      <c r="AG54" s="47" t="s">
        <v>106</v>
      </c>
      <c r="AH54" s="43"/>
      <c r="AI54" s="42" t="s">
        <v>742</v>
      </c>
      <c r="AJ54" s="42" t="s">
        <v>760</v>
      </c>
      <c r="AK54" s="43" t="s">
        <v>111</v>
      </c>
      <c r="AL54" s="43" t="s">
        <v>761</v>
      </c>
      <c r="AM54" s="43" t="s">
        <v>111</v>
      </c>
      <c r="AN54" s="43" t="s">
        <v>115</v>
      </c>
      <c r="AO54" s="43" t="s">
        <v>592</v>
      </c>
      <c r="AP54" s="43" t="s">
        <v>115</v>
      </c>
      <c r="AQ54" s="43" t="s">
        <v>114</v>
      </c>
      <c r="AR54" s="43" t="s">
        <v>115</v>
      </c>
      <c r="AS54" s="43" t="s">
        <v>115</v>
      </c>
      <c r="AT54" s="43" t="s">
        <v>114</v>
      </c>
      <c r="AU54" s="43" t="s">
        <v>114</v>
      </c>
      <c r="AV54" s="48" t="s">
        <v>116</v>
      </c>
      <c r="AW54" s="40" t="s">
        <v>1487</v>
      </c>
      <c r="AX54" s="40" t="s">
        <v>762</v>
      </c>
      <c r="AY54" s="43"/>
      <c r="AZ54" s="43"/>
      <c r="BA54" s="43" t="s">
        <v>106</v>
      </c>
      <c r="BB54" s="43"/>
      <c r="BC54" s="43" t="s">
        <v>763</v>
      </c>
      <c r="BD54" s="43" t="s">
        <v>176</v>
      </c>
      <c r="BE54" s="43">
        <v>7</v>
      </c>
      <c r="BF54" s="49" t="s">
        <v>764</v>
      </c>
      <c r="BG54" s="43" t="s">
        <v>748</v>
      </c>
      <c r="BH54" s="40" t="s">
        <v>124</v>
      </c>
      <c r="BI54" s="40" t="s">
        <v>125</v>
      </c>
      <c r="BJ54" s="40" t="s">
        <v>126</v>
      </c>
      <c r="BK54" s="40" t="s">
        <v>127</v>
      </c>
      <c r="BL54" s="40" t="s">
        <v>128</v>
      </c>
      <c r="BM54" s="40" t="s">
        <v>129</v>
      </c>
      <c r="BN54" s="40" t="s">
        <v>765</v>
      </c>
      <c r="BO54" s="40" t="s">
        <v>750</v>
      </c>
      <c r="BP54" s="47"/>
      <c r="BQ54" s="43" t="s">
        <v>106</v>
      </c>
      <c r="BR54" s="43"/>
      <c r="BS54" s="43" t="s">
        <v>106</v>
      </c>
      <c r="BT54" s="43"/>
      <c r="BU54" s="43"/>
      <c r="BV54" s="43"/>
      <c r="BW54" s="40" t="s">
        <v>766</v>
      </c>
      <c r="BX54" s="49" t="s">
        <v>767</v>
      </c>
      <c r="BY54" s="49" t="s">
        <v>768</v>
      </c>
    </row>
    <row r="55" spans="1:77" s="81" customFormat="1" ht="21.95" customHeight="1">
      <c r="A55" s="60">
        <v>1</v>
      </c>
      <c r="B55" s="79" t="s">
        <v>731</v>
      </c>
      <c r="C55" s="61" t="s">
        <v>732</v>
      </c>
      <c r="D55" s="62" t="s">
        <v>769</v>
      </c>
      <c r="E55" s="62" t="s">
        <v>734</v>
      </c>
      <c r="F55" s="63" t="s">
        <v>770</v>
      </c>
      <c r="G55" s="63" t="s">
        <v>771</v>
      </c>
      <c r="H55" s="63" t="s">
        <v>546</v>
      </c>
      <c r="I55" s="64" t="s">
        <v>772</v>
      </c>
      <c r="J55" s="65" t="s">
        <v>100</v>
      </c>
      <c r="K55" s="65" t="s">
        <v>738</v>
      </c>
      <c r="L55" s="65" t="s">
        <v>100</v>
      </c>
      <c r="M55" s="65" t="s">
        <v>100</v>
      </c>
      <c r="N55" s="65" t="s">
        <v>100</v>
      </c>
      <c r="O55" s="66" t="s">
        <v>101</v>
      </c>
      <c r="P55" s="64" t="s">
        <v>773</v>
      </c>
      <c r="Q55" s="67" t="s">
        <v>774</v>
      </c>
      <c r="R55" s="64" t="s">
        <v>775</v>
      </c>
      <c r="S55" s="62" t="s">
        <v>257</v>
      </c>
      <c r="T55" s="68" t="s">
        <v>106</v>
      </c>
      <c r="U55" s="68" t="s">
        <v>106</v>
      </c>
      <c r="V55" s="68" t="s">
        <v>106</v>
      </c>
      <c r="W55" s="68" t="s">
        <v>106</v>
      </c>
      <c r="X55" s="68"/>
      <c r="Y55" s="68" t="s">
        <v>106</v>
      </c>
      <c r="Z55" s="63" t="s">
        <v>141</v>
      </c>
      <c r="AA55" s="63" t="s">
        <v>108</v>
      </c>
      <c r="AB55" s="68"/>
      <c r="AC55" s="68"/>
      <c r="AD55" s="68" t="s">
        <v>106</v>
      </c>
      <c r="AE55" s="68"/>
      <c r="AF55" s="68"/>
      <c r="AG55" s="68"/>
      <c r="AH55" s="63"/>
      <c r="AI55" s="62" t="s">
        <v>776</v>
      </c>
      <c r="AJ55" s="62" t="s">
        <v>278</v>
      </c>
      <c r="AK55" s="63" t="s">
        <v>111</v>
      </c>
      <c r="AL55" s="63" t="s">
        <v>625</v>
      </c>
      <c r="AM55" s="63" t="s">
        <v>111</v>
      </c>
      <c r="AN55" s="63" t="s">
        <v>115</v>
      </c>
      <c r="AO55" s="63" t="s">
        <v>701</v>
      </c>
      <c r="AP55" s="63" t="s">
        <v>114</v>
      </c>
      <c r="AQ55" s="63" t="s">
        <v>115</v>
      </c>
      <c r="AR55" s="63" t="s">
        <v>115</v>
      </c>
      <c r="AS55" s="63" t="s">
        <v>701</v>
      </c>
      <c r="AT55" s="63" t="s">
        <v>114</v>
      </c>
      <c r="AU55" s="63" t="s">
        <v>114</v>
      </c>
      <c r="AV55" s="69" t="s">
        <v>116</v>
      </c>
      <c r="AW55" s="67" t="s">
        <v>777</v>
      </c>
      <c r="AX55" s="67" t="s">
        <v>778</v>
      </c>
      <c r="AY55" s="63"/>
      <c r="AZ55" s="63" t="s">
        <v>106</v>
      </c>
      <c r="BA55" s="63" t="s">
        <v>106</v>
      </c>
      <c r="BB55" s="63"/>
      <c r="BC55" s="63" t="s">
        <v>779</v>
      </c>
      <c r="BD55" s="63" t="s">
        <v>162</v>
      </c>
      <c r="BE55" s="63">
        <v>1</v>
      </c>
      <c r="BF55" s="70" t="s">
        <v>780</v>
      </c>
      <c r="BG55" s="63" t="s">
        <v>748</v>
      </c>
      <c r="BH55" s="67" t="s">
        <v>124</v>
      </c>
      <c r="BI55" s="67" t="s">
        <v>125</v>
      </c>
      <c r="BJ55" s="67" t="s">
        <v>126</v>
      </c>
      <c r="BK55" s="67" t="s">
        <v>127</v>
      </c>
      <c r="BL55" s="67" t="s">
        <v>128</v>
      </c>
      <c r="BM55" s="67" t="s">
        <v>129</v>
      </c>
      <c r="BN55" s="67" t="s">
        <v>781</v>
      </c>
      <c r="BO55" s="67" t="s">
        <v>782</v>
      </c>
      <c r="BP55" s="68"/>
      <c r="BQ55" s="63" t="s">
        <v>106</v>
      </c>
      <c r="BR55" s="63"/>
      <c r="BS55" s="63" t="s">
        <v>106</v>
      </c>
      <c r="BT55" s="63"/>
      <c r="BU55" s="63"/>
      <c r="BV55" s="63"/>
      <c r="BW55" s="67" t="s">
        <v>783</v>
      </c>
      <c r="BX55" s="70" t="s">
        <v>784</v>
      </c>
      <c r="BY55" s="70" t="s">
        <v>1496</v>
      </c>
    </row>
    <row r="56" spans="1:77" s="81" customFormat="1" ht="21.95" customHeight="1">
      <c r="A56" s="60">
        <v>5</v>
      </c>
      <c r="B56" s="77" t="s">
        <v>731</v>
      </c>
      <c r="C56" s="41" t="s">
        <v>732</v>
      </c>
      <c r="D56" s="42" t="s">
        <v>769</v>
      </c>
      <c r="E56" s="42" t="s">
        <v>734</v>
      </c>
      <c r="F56" s="43" t="s">
        <v>785</v>
      </c>
      <c r="G56" s="43" t="s">
        <v>786</v>
      </c>
      <c r="H56" s="43" t="s">
        <v>787</v>
      </c>
      <c r="I56" s="44" t="s">
        <v>772</v>
      </c>
      <c r="J56" s="45" t="s">
        <v>100</v>
      </c>
      <c r="K56" s="45" t="s">
        <v>738</v>
      </c>
      <c r="L56" s="45" t="s">
        <v>100</v>
      </c>
      <c r="M56" s="45" t="s">
        <v>100</v>
      </c>
      <c r="N56" s="45" t="s">
        <v>100</v>
      </c>
      <c r="O56" s="46" t="s">
        <v>101</v>
      </c>
      <c r="P56" s="44" t="s">
        <v>788</v>
      </c>
      <c r="Q56" s="40" t="s">
        <v>789</v>
      </c>
      <c r="R56" s="44" t="s">
        <v>790</v>
      </c>
      <c r="S56" s="42" t="s">
        <v>140</v>
      </c>
      <c r="T56" s="47" t="s">
        <v>106</v>
      </c>
      <c r="U56" s="47" t="s">
        <v>106</v>
      </c>
      <c r="V56" s="47"/>
      <c r="W56" s="47" t="s">
        <v>106</v>
      </c>
      <c r="X56" s="47" t="s">
        <v>106</v>
      </c>
      <c r="Y56" s="47" t="s">
        <v>106</v>
      </c>
      <c r="Z56" s="43" t="s">
        <v>141</v>
      </c>
      <c r="AA56" s="43" t="s">
        <v>108</v>
      </c>
      <c r="AB56" s="47" t="s">
        <v>106</v>
      </c>
      <c r="AC56" s="47" t="s">
        <v>106</v>
      </c>
      <c r="AD56" s="47" t="s">
        <v>106</v>
      </c>
      <c r="AE56" s="47"/>
      <c r="AF56" s="47"/>
      <c r="AG56" s="47"/>
      <c r="AH56" s="43"/>
      <c r="AI56" s="42" t="s">
        <v>776</v>
      </c>
      <c r="AJ56" s="42" t="s">
        <v>791</v>
      </c>
      <c r="AK56" s="43" t="s">
        <v>111</v>
      </c>
      <c r="AL56" s="43" t="s">
        <v>625</v>
      </c>
      <c r="AM56" s="43" t="s">
        <v>111</v>
      </c>
      <c r="AN56" s="43" t="s">
        <v>115</v>
      </c>
      <c r="AO56" s="43" t="s">
        <v>592</v>
      </c>
      <c r="AP56" s="43" t="s">
        <v>592</v>
      </c>
      <c r="AQ56" s="43" t="s">
        <v>592</v>
      </c>
      <c r="AR56" s="43" t="s">
        <v>114</v>
      </c>
      <c r="AS56" s="43" t="s">
        <v>592</v>
      </c>
      <c r="AT56" s="43" t="s">
        <v>115</v>
      </c>
      <c r="AU56" s="43" t="s">
        <v>113</v>
      </c>
      <c r="AV56" s="48" t="s">
        <v>626</v>
      </c>
      <c r="AW56" s="40" t="s">
        <v>1488</v>
      </c>
      <c r="AX56" s="40" t="s">
        <v>792</v>
      </c>
      <c r="AY56" s="43"/>
      <c r="AZ56" s="43" t="s">
        <v>106</v>
      </c>
      <c r="BA56" s="43" t="s">
        <v>106</v>
      </c>
      <c r="BB56" s="43"/>
      <c r="BC56" s="43" t="s">
        <v>793</v>
      </c>
      <c r="BD56" s="43" t="s">
        <v>121</v>
      </c>
      <c r="BE56" s="43">
        <v>5</v>
      </c>
      <c r="BF56" s="49" t="s">
        <v>794</v>
      </c>
      <c r="BG56" s="43" t="s">
        <v>748</v>
      </c>
      <c r="BH56" s="40" t="s">
        <v>124</v>
      </c>
      <c r="BI56" s="40" t="s">
        <v>125</v>
      </c>
      <c r="BJ56" s="40" t="s">
        <v>126</v>
      </c>
      <c r="BK56" s="40" t="s">
        <v>127</v>
      </c>
      <c r="BL56" s="40" t="s">
        <v>128</v>
      </c>
      <c r="BM56" s="40" t="s">
        <v>129</v>
      </c>
      <c r="BN56" s="40" t="s">
        <v>795</v>
      </c>
      <c r="BO56" s="40" t="s">
        <v>782</v>
      </c>
      <c r="BP56" s="47"/>
      <c r="BQ56" s="43" t="s">
        <v>106</v>
      </c>
      <c r="BR56" s="43"/>
      <c r="BS56" s="43" t="s">
        <v>106</v>
      </c>
      <c r="BT56" s="43"/>
      <c r="BU56" s="43"/>
      <c r="BV56" s="43"/>
      <c r="BW56" s="40" t="s">
        <v>796</v>
      </c>
      <c r="BX56" s="49" t="s">
        <v>797</v>
      </c>
      <c r="BY56" s="49" t="s">
        <v>1496</v>
      </c>
    </row>
    <row r="57" spans="1:77" s="81" customFormat="1" ht="21.95" customHeight="1">
      <c r="A57" s="60">
        <v>1</v>
      </c>
      <c r="B57" s="77" t="s">
        <v>731</v>
      </c>
      <c r="C57" s="41" t="s">
        <v>732</v>
      </c>
      <c r="D57" s="42" t="s">
        <v>798</v>
      </c>
      <c r="E57" s="42" t="s">
        <v>734</v>
      </c>
      <c r="F57" s="43" t="s">
        <v>770</v>
      </c>
      <c r="G57" s="43" t="s">
        <v>799</v>
      </c>
      <c r="H57" s="43" t="s">
        <v>787</v>
      </c>
      <c r="I57" s="44" t="s">
        <v>772</v>
      </c>
      <c r="J57" s="45" t="s">
        <v>100</v>
      </c>
      <c r="K57" s="45" t="s">
        <v>738</v>
      </c>
      <c r="L57" s="45" t="s">
        <v>100</v>
      </c>
      <c r="M57" s="45" t="s">
        <v>100</v>
      </c>
      <c r="N57" s="45" t="s">
        <v>100</v>
      </c>
      <c r="O57" s="46" t="s">
        <v>101</v>
      </c>
      <c r="P57" s="44" t="s">
        <v>800</v>
      </c>
      <c r="Q57" s="40" t="s">
        <v>801</v>
      </c>
      <c r="R57" s="44" t="s">
        <v>802</v>
      </c>
      <c r="S57" s="42" t="s">
        <v>140</v>
      </c>
      <c r="T57" s="47" t="s">
        <v>106</v>
      </c>
      <c r="U57" s="47" t="s">
        <v>106</v>
      </c>
      <c r="V57" s="47" t="s">
        <v>106</v>
      </c>
      <c r="W57" s="47"/>
      <c r="X57" s="47"/>
      <c r="Y57" s="47" t="s">
        <v>106</v>
      </c>
      <c r="Z57" s="43" t="s">
        <v>803</v>
      </c>
      <c r="AA57" s="43" t="s">
        <v>108</v>
      </c>
      <c r="AB57" s="47" t="s">
        <v>106</v>
      </c>
      <c r="AC57" s="47" t="s">
        <v>106</v>
      </c>
      <c r="AD57" s="47" t="s">
        <v>106</v>
      </c>
      <c r="AE57" s="47"/>
      <c r="AF57" s="47"/>
      <c r="AG57" s="47"/>
      <c r="AH57" s="43"/>
      <c r="AI57" s="42" t="s">
        <v>804</v>
      </c>
      <c r="AJ57" s="42" t="s">
        <v>278</v>
      </c>
      <c r="AK57" s="43" t="s">
        <v>111</v>
      </c>
      <c r="AL57" s="43" t="s">
        <v>112</v>
      </c>
      <c r="AM57" s="43" t="s">
        <v>111</v>
      </c>
      <c r="AN57" s="43" t="s">
        <v>114</v>
      </c>
      <c r="AO57" s="43" t="s">
        <v>592</v>
      </c>
      <c r="AP57" s="43" t="s">
        <v>592</v>
      </c>
      <c r="AQ57" s="43" t="s">
        <v>592</v>
      </c>
      <c r="AR57" s="43" t="s">
        <v>114</v>
      </c>
      <c r="AS57" s="43" t="s">
        <v>592</v>
      </c>
      <c r="AT57" s="43" t="s">
        <v>114</v>
      </c>
      <c r="AU57" s="43" t="s">
        <v>114</v>
      </c>
      <c r="AV57" s="48" t="s">
        <v>626</v>
      </c>
      <c r="AW57" s="40" t="s">
        <v>805</v>
      </c>
      <c r="AX57" s="40" t="s">
        <v>806</v>
      </c>
      <c r="AY57" s="43"/>
      <c r="AZ57" s="43"/>
      <c r="BA57" s="43" t="s">
        <v>106</v>
      </c>
      <c r="BB57" s="43" t="s">
        <v>106</v>
      </c>
      <c r="BC57" s="43" t="s">
        <v>807</v>
      </c>
      <c r="BD57" s="43" t="s">
        <v>176</v>
      </c>
      <c r="BE57" s="43">
        <v>1</v>
      </c>
      <c r="BF57" s="49" t="s">
        <v>808</v>
      </c>
      <c r="BG57" s="43" t="s">
        <v>748</v>
      </c>
      <c r="BH57" s="40" t="s">
        <v>124</v>
      </c>
      <c r="BI57" s="40" t="s">
        <v>125</v>
      </c>
      <c r="BJ57" s="40" t="s">
        <v>126</v>
      </c>
      <c r="BK57" s="40" t="s">
        <v>127</v>
      </c>
      <c r="BL57" s="40" t="s">
        <v>128</v>
      </c>
      <c r="BM57" s="40" t="s">
        <v>129</v>
      </c>
      <c r="BN57" s="40" t="s">
        <v>809</v>
      </c>
      <c r="BO57" s="40" t="s">
        <v>782</v>
      </c>
      <c r="BP57" s="47"/>
      <c r="BQ57" s="43" t="s">
        <v>106</v>
      </c>
      <c r="BR57" s="43"/>
      <c r="BS57" s="43" t="s">
        <v>106</v>
      </c>
      <c r="BT57" s="43"/>
      <c r="BU57" s="43"/>
      <c r="BV57" s="43"/>
      <c r="BW57" s="40" t="s">
        <v>810</v>
      </c>
      <c r="BX57" s="49" t="s">
        <v>811</v>
      </c>
      <c r="BY57" s="49" t="s">
        <v>812</v>
      </c>
    </row>
    <row r="58" spans="1:77" s="81" customFormat="1" ht="21.95" customHeight="1">
      <c r="A58" s="60">
        <v>5</v>
      </c>
      <c r="B58" s="77" t="s">
        <v>731</v>
      </c>
      <c r="C58" s="41" t="s">
        <v>732</v>
      </c>
      <c r="D58" s="42" t="s">
        <v>769</v>
      </c>
      <c r="E58" s="42" t="s">
        <v>734</v>
      </c>
      <c r="F58" s="43" t="s">
        <v>813</v>
      </c>
      <c r="G58" s="43" t="s">
        <v>814</v>
      </c>
      <c r="H58" s="43" t="s">
        <v>787</v>
      </c>
      <c r="I58" s="44" t="s">
        <v>815</v>
      </c>
      <c r="J58" s="45" t="s">
        <v>100</v>
      </c>
      <c r="K58" s="45" t="s">
        <v>738</v>
      </c>
      <c r="L58" s="45" t="s">
        <v>100</v>
      </c>
      <c r="M58" s="45" t="s">
        <v>100</v>
      </c>
      <c r="N58" s="45" t="s">
        <v>100</v>
      </c>
      <c r="O58" s="46" t="s">
        <v>101</v>
      </c>
      <c r="P58" s="44" t="s">
        <v>816</v>
      </c>
      <c r="Q58" s="40" t="s">
        <v>817</v>
      </c>
      <c r="R58" s="44" t="s">
        <v>818</v>
      </c>
      <c r="S58" s="42" t="s">
        <v>140</v>
      </c>
      <c r="T58" s="47" t="s">
        <v>106</v>
      </c>
      <c r="U58" s="47" t="s">
        <v>106</v>
      </c>
      <c r="V58" s="47"/>
      <c r="W58" s="47"/>
      <c r="X58" s="47" t="s">
        <v>106</v>
      </c>
      <c r="Y58" s="47" t="s">
        <v>106</v>
      </c>
      <c r="Z58" s="43" t="s">
        <v>141</v>
      </c>
      <c r="AA58" s="43" t="s">
        <v>108</v>
      </c>
      <c r="AB58" s="47" t="s">
        <v>106</v>
      </c>
      <c r="AC58" s="47" t="s">
        <v>106</v>
      </c>
      <c r="AD58" s="47" t="s">
        <v>106</v>
      </c>
      <c r="AE58" s="47"/>
      <c r="AF58" s="47" t="s">
        <v>106</v>
      </c>
      <c r="AG58" s="47" t="s">
        <v>106</v>
      </c>
      <c r="AH58" s="43"/>
      <c r="AI58" s="42" t="s">
        <v>819</v>
      </c>
      <c r="AJ58" s="42" t="s">
        <v>820</v>
      </c>
      <c r="AK58" s="43" t="s">
        <v>111</v>
      </c>
      <c r="AL58" s="43" t="s">
        <v>699</v>
      </c>
      <c r="AM58" s="43" t="s">
        <v>111</v>
      </c>
      <c r="AN58" s="43" t="s">
        <v>114</v>
      </c>
      <c r="AO58" s="43" t="s">
        <v>701</v>
      </c>
      <c r="AP58" s="43" t="s">
        <v>592</v>
      </c>
      <c r="AQ58" s="43" t="s">
        <v>114</v>
      </c>
      <c r="AR58" s="43" t="s">
        <v>113</v>
      </c>
      <c r="AS58" s="43" t="s">
        <v>114</v>
      </c>
      <c r="AT58" s="43" t="s">
        <v>114</v>
      </c>
      <c r="AU58" s="43" t="s">
        <v>114</v>
      </c>
      <c r="AV58" s="48" t="s">
        <v>116</v>
      </c>
      <c r="AW58" s="40" t="s">
        <v>1489</v>
      </c>
      <c r="AX58" s="40" t="s">
        <v>821</v>
      </c>
      <c r="AY58" s="43"/>
      <c r="AZ58" s="43"/>
      <c r="BA58" s="43" t="s">
        <v>106</v>
      </c>
      <c r="BB58" s="43"/>
      <c r="BC58" s="43" t="s">
        <v>822</v>
      </c>
      <c r="BD58" s="43" t="s">
        <v>162</v>
      </c>
      <c r="BE58" s="43">
        <v>5</v>
      </c>
      <c r="BF58" s="49" t="s">
        <v>823</v>
      </c>
      <c r="BG58" s="43" t="s">
        <v>748</v>
      </c>
      <c r="BH58" s="40" t="s">
        <v>124</v>
      </c>
      <c r="BI58" s="40" t="s">
        <v>125</v>
      </c>
      <c r="BJ58" s="40" t="s">
        <v>126</v>
      </c>
      <c r="BK58" s="40" t="s">
        <v>127</v>
      </c>
      <c r="BL58" s="40" t="s">
        <v>128</v>
      </c>
      <c r="BM58" s="40" t="s">
        <v>129</v>
      </c>
      <c r="BN58" s="40" t="s">
        <v>824</v>
      </c>
      <c r="BO58" s="40" t="s">
        <v>825</v>
      </c>
      <c r="BP58" s="47"/>
      <c r="BQ58" s="43" t="s">
        <v>106</v>
      </c>
      <c r="BR58" s="43"/>
      <c r="BS58" s="43" t="s">
        <v>106</v>
      </c>
      <c r="BT58" s="43"/>
      <c r="BU58" s="43"/>
      <c r="BV58" s="43"/>
      <c r="BW58" s="40" t="s">
        <v>826</v>
      </c>
      <c r="BX58" s="49" t="s">
        <v>827</v>
      </c>
      <c r="BY58" s="49" t="s">
        <v>828</v>
      </c>
    </row>
    <row r="59" spans="1:77" s="81" customFormat="1" ht="21.95" customHeight="1">
      <c r="A59" s="60">
        <v>2</v>
      </c>
      <c r="B59" s="77" t="s">
        <v>731</v>
      </c>
      <c r="C59" s="41" t="s">
        <v>732</v>
      </c>
      <c r="D59" s="42" t="s">
        <v>769</v>
      </c>
      <c r="E59" s="42" t="s">
        <v>734</v>
      </c>
      <c r="F59" s="43" t="s">
        <v>829</v>
      </c>
      <c r="G59" s="43" t="s">
        <v>830</v>
      </c>
      <c r="H59" s="43" t="s">
        <v>637</v>
      </c>
      <c r="I59" s="44" t="s">
        <v>831</v>
      </c>
      <c r="J59" s="45" t="s">
        <v>100</v>
      </c>
      <c r="K59" s="45" t="s">
        <v>738</v>
      </c>
      <c r="L59" s="45" t="s">
        <v>100</v>
      </c>
      <c r="M59" s="45" t="s">
        <v>100</v>
      </c>
      <c r="N59" s="45" t="s">
        <v>100</v>
      </c>
      <c r="O59" s="46" t="s">
        <v>101</v>
      </c>
      <c r="P59" s="44" t="s">
        <v>832</v>
      </c>
      <c r="Q59" s="40" t="s">
        <v>833</v>
      </c>
      <c r="R59" s="44" t="s">
        <v>834</v>
      </c>
      <c r="S59" s="42" t="s">
        <v>140</v>
      </c>
      <c r="T59" s="47" t="s">
        <v>106</v>
      </c>
      <c r="U59" s="47" t="s">
        <v>106</v>
      </c>
      <c r="V59" s="47"/>
      <c r="W59" s="47"/>
      <c r="X59" s="47" t="s">
        <v>106</v>
      </c>
      <c r="Y59" s="47" t="s">
        <v>106</v>
      </c>
      <c r="Z59" s="43" t="s">
        <v>141</v>
      </c>
      <c r="AA59" s="43" t="s">
        <v>108</v>
      </c>
      <c r="AB59" s="47" t="s">
        <v>106</v>
      </c>
      <c r="AC59" s="47" t="s">
        <v>106</v>
      </c>
      <c r="AD59" s="47" t="s">
        <v>106</v>
      </c>
      <c r="AE59" s="47"/>
      <c r="AF59" s="47"/>
      <c r="AG59" s="47" t="s">
        <v>106</v>
      </c>
      <c r="AH59" s="43"/>
      <c r="AI59" s="42" t="s">
        <v>804</v>
      </c>
      <c r="AJ59" s="42" t="s">
        <v>589</v>
      </c>
      <c r="AK59" s="43" t="s">
        <v>111</v>
      </c>
      <c r="AL59" s="43" t="s">
        <v>625</v>
      </c>
      <c r="AM59" s="43" t="s">
        <v>109</v>
      </c>
      <c r="AN59" s="43" t="s">
        <v>113</v>
      </c>
      <c r="AO59" s="43" t="s">
        <v>702</v>
      </c>
      <c r="AP59" s="43" t="s">
        <v>592</v>
      </c>
      <c r="AQ59" s="43" t="s">
        <v>114</v>
      </c>
      <c r="AR59" s="43" t="s">
        <v>113</v>
      </c>
      <c r="AS59" s="43" t="s">
        <v>114</v>
      </c>
      <c r="AT59" s="43" t="s">
        <v>114</v>
      </c>
      <c r="AU59" s="43" t="s">
        <v>114</v>
      </c>
      <c r="AV59" s="48" t="s">
        <v>116</v>
      </c>
      <c r="AW59" s="40" t="s">
        <v>1490</v>
      </c>
      <c r="AX59" s="40" t="s">
        <v>835</v>
      </c>
      <c r="AY59" s="43"/>
      <c r="AZ59" s="43"/>
      <c r="BA59" s="43" t="s">
        <v>106</v>
      </c>
      <c r="BB59" s="43"/>
      <c r="BC59" s="43" t="s">
        <v>836</v>
      </c>
      <c r="BD59" s="43" t="s">
        <v>162</v>
      </c>
      <c r="BE59" s="43">
        <v>2</v>
      </c>
      <c r="BF59" s="49" t="s">
        <v>837</v>
      </c>
      <c r="BG59" s="43" t="s">
        <v>748</v>
      </c>
      <c r="BH59" s="40" t="s">
        <v>124</v>
      </c>
      <c r="BI59" s="40" t="s">
        <v>125</v>
      </c>
      <c r="BJ59" s="40" t="s">
        <v>126</v>
      </c>
      <c r="BK59" s="40" t="s">
        <v>127</v>
      </c>
      <c r="BL59" s="40" t="s">
        <v>128</v>
      </c>
      <c r="BM59" s="40" t="s">
        <v>129</v>
      </c>
      <c r="BN59" s="40" t="s">
        <v>838</v>
      </c>
      <c r="BO59" s="40" t="s">
        <v>839</v>
      </c>
      <c r="BP59" s="47"/>
      <c r="BQ59" s="43" t="s">
        <v>106</v>
      </c>
      <c r="BR59" s="43"/>
      <c r="BS59" s="43" t="s">
        <v>106</v>
      </c>
      <c r="BT59" s="43"/>
      <c r="BU59" s="43"/>
      <c r="BV59" s="43"/>
      <c r="BW59" s="40" t="s">
        <v>840</v>
      </c>
      <c r="BX59" s="49" t="s">
        <v>827</v>
      </c>
      <c r="BY59" s="49" t="s">
        <v>828</v>
      </c>
    </row>
    <row r="60" spans="1:77" s="81" customFormat="1" ht="21.95" customHeight="1">
      <c r="A60" s="60">
        <v>2</v>
      </c>
      <c r="B60" s="77" t="s">
        <v>731</v>
      </c>
      <c r="C60" s="41" t="s">
        <v>732</v>
      </c>
      <c r="D60" s="42" t="s">
        <v>841</v>
      </c>
      <c r="E60" s="42" t="s">
        <v>842</v>
      </c>
      <c r="F60" s="43" t="s">
        <v>843</v>
      </c>
      <c r="G60" s="43" t="s">
        <v>844</v>
      </c>
      <c r="H60" s="43" t="s">
        <v>787</v>
      </c>
      <c r="I60" s="44" t="s">
        <v>845</v>
      </c>
      <c r="J60" s="45" t="s">
        <v>738</v>
      </c>
      <c r="K60" s="45" t="s">
        <v>100</v>
      </c>
      <c r="L60" s="45" t="s">
        <v>100</v>
      </c>
      <c r="M60" s="45" t="s">
        <v>100</v>
      </c>
      <c r="N60" s="45" t="s">
        <v>100</v>
      </c>
      <c r="O60" s="46" t="s">
        <v>101</v>
      </c>
      <c r="P60" s="44" t="s">
        <v>846</v>
      </c>
      <c r="Q60" s="40" t="s">
        <v>847</v>
      </c>
      <c r="R60" s="44" t="s">
        <v>848</v>
      </c>
      <c r="S60" s="42" t="s">
        <v>257</v>
      </c>
      <c r="T60" s="47" t="s">
        <v>106</v>
      </c>
      <c r="U60" s="47" t="s">
        <v>106</v>
      </c>
      <c r="V60" s="47"/>
      <c r="W60" s="47"/>
      <c r="X60" s="47"/>
      <c r="Y60" s="47" t="s">
        <v>106</v>
      </c>
      <c r="Z60" s="43" t="s">
        <v>141</v>
      </c>
      <c r="AA60" s="43" t="s">
        <v>108</v>
      </c>
      <c r="AB60" s="47" t="s">
        <v>106</v>
      </c>
      <c r="AC60" s="47"/>
      <c r="AD60" s="47" t="s">
        <v>106</v>
      </c>
      <c r="AE60" s="47"/>
      <c r="AF60" s="47" t="s">
        <v>106</v>
      </c>
      <c r="AG60" s="47"/>
      <c r="AH60" s="43"/>
      <c r="AI60" s="42" t="s">
        <v>849</v>
      </c>
      <c r="AJ60" s="42" t="s">
        <v>646</v>
      </c>
      <c r="AK60" s="43" t="s">
        <v>111</v>
      </c>
      <c r="AL60" s="43" t="s">
        <v>699</v>
      </c>
      <c r="AM60" s="43" t="s">
        <v>111</v>
      </c>
      <c r="AN60" s="43" t="s">
        <v>115</v>
      </c>
      <c r="AO60" s="43" t="s">
        <v>592</v>
      </c>
      <c r="AP60" s="43" t="s">
        <v>592</v>
      </c>
      <c r="AQ60" s="43" t="s">
        <v>115</v>
      </c>
      <c r="AR60" s="43" t="s">
        <v>114</v>
      </c>
      <c r="AS60" s="43" t="s">
        <v>114</v>
      </c>
      <c r="AT60" s="43" t="s">
        <v>114</v>
      </c>
      <c r="AU60" s="43" t="s">
        <v>114</v>
      </c>
      <c r="AV60" s="48" t="s">
        <v>116</v>
      </c>
      <c r="AW60" s="40" t="s">
        <v>1491</v>
      </c>
      <c r="AX60" s="40" t="s">
        <v>850</v>
      </c>
      <c r="AY60" s="43"/>
      <c r="AZ60" s="43"/>
      <c r="BA60" s="43" t="s">
        <v>106</v>
      </c>
      <c r="BB60" s="43"/>
      <c r="BC60" s="43" t="s">
        <v>851</v>
      </c>
      <c r="BD60" s="43" t="s">
        <v>121</v>
      </c>
      <c r="BE60" s="43">
        <v>2</v>
      </c>
      <c r="BF60" s="49" t="s">
        <v>852</v>
      </c>
      <c r="BG60" s="43" t="s">
        <v>748</v>
      </c>
      <c r="BH60" s="40" t="s">
        <v>124</v>
      </c>
      <c r="BI60" s="40" t="s">
        <v>125</v>
      </c>
      <c r="BJ60" s="40" t="s">
        <v>126</v>
      </c>
      <c r="BK60" s="40" t="s">
        <v>127</v>
      </c>
      <c r="BL60" s="40" t="s">
        <v>128</v>
      </c>
      <c r="BM60" s="40" t="s">
        <v>129</v>
      </c>
      <c r="BN60" s="40" t="s">
        <v>853</v>
      </c>
      <c r="BO60" s="40" t="s">
        <v>854</v>
      </c>
      <c r="BP60" s="47"/>
      <c r="BQ60" s="43" t="s">
        <v>106</v>
      </c>
      <c r="BR60" s="43"/>
      <c r="BS60" s="43" t="s">
        <v>106</v>
      </c>
      <c r="BT60" s="43"/>
      <c r="BU60" s="43"/>
      <c r="BV60" s="43"/>
      <c r="BW60" s="40" t="s">
        <v>855</v>
      </c>
      <c r="BX60" s="49" t="s">
        <v>856</v>
      </c>
      <c r="BY60" s="49" t="s">
        <v>857</v>
      </c>
    </row>
    <row r="61" spans="1:77" s="84" customFormat="1" ht="21.95" customHeight="1">
      <c r="A61" s="80">
        <v>2</v>
      </c>
      <c r="B61" s="76" t="s">
        <v>731</v>
      </c>
      <c r="C61" s="30" t="s">
        <v>732</v>
      </c>
      <c r="D61" s="31" t="s">
        <v>858</v>
      </c>
      <c r="E61" s="31" t="s">
        <v>842</v>
      </c>
      <c r="F61" s="32" t="s">
        <v>843</v>
      </c>
      <c r="G61" s="32" t="s">
        <v>859</v>
      </c>
      <c r="H61" s="32" t="s">
        <v>787</v>
      </c>
      <c r="I61" s="33" t="s">
        <v>845</v>
      </c>
      <c r="J61" s="34" t="s">
        <v>738</v>
      </c>
      <c r="K61" s="34" t="s">
        <v>100</v>
      </c>
      <c r="L61" s="34" t="s">
        <v>100</v>
      </c>
      <c r="M61" s="34" t="s">
        <v>100</v>
      </c>
      <c r="N61" s="34" t="s">
        <v>100</v>
      </c>
      <c r="O61" s="35" t="s">
        <v>101</v>
      </c>
      <c r="P61" s="33" t="s">
        <v>860</v>
      </c>
      <c r="Q61" s="36" t="s">
        <v>861</v>
      </c>
      <c r="R61" s="33" t="s">
        <v>862</v>
      </c>
      <c r="S61" s="31" t="s">
        <v>140</v>
      </c>
      <c r="T61" s="37" t="s">
        <v>106</v>
      </c>
      <c r="U61" s="37" t="s">
        <v>106</v>
      </c>
      <c r="V61" s="37"/>
      <c r="W61" s="37"/>
      <c r="X61" s="37"/>
      <c r="Y61" s="37" t="s">
        <v>106</v>
      </c>
      <c r="Z61" s="32" t="s">
        <v>863</v>
      </c>
      <c r="AA61" s="32" t="s">
        <v>108</v>
      </c>
      <c r="AB61" s="37" t="s">
        <v>106</v>
      </c>
      <c r="AC61" s="37"/>
      <c r="AD61" s="37" t="s">
        <v>106</v>
      </c>
      <c r="AE61" s="37"/>
      <c r="AF61" s="37" t="s">
        <v>106</v>
      </c>
      <c r="AG61" s="37"/>
      <c r="AH61" s="32"/>
      <c r="AI61" s="31" t="s">
        <v>864</v>
      </c>
      <c r="AJ61" s="31" t="s">
        <v>697</v>
      </c>
      <c r="AK61" s="32" t="s">
        <v>111</v>
      </c>
      <c r="AL61" s="32" t="s">
        <v>699</v>
      </c>
      <c r="AM61" s="32" t="s">
        <v>111</v>
      </c>
      <c r="AN61" s="32" t="s">
        <v>115</v>
      </c>
      <c r="AO61" s="32" t="s">
        <v>592</v>
      </c>
      <c r="AP61" s="32" t="s">
        <v>701</v>
      </c>
      <c r="AQ61" s="32" t="s">
        <v>115</v>
      </c>
      <c r="AR61" s="32" t="s">
        <v>115</v>
      </c>
      <c r="AS61" s="32" t="s">
        <v>114</v>
      </c>
      <c r="AT61" s="32" t="s">
        <v>114</v>
      </c>
      <c r="AU61" s="32" t="s">
        <v>115</v>
      </c>
      <c r="AV61" s="38" t="s">
        <v>116</v>
      </c>
      <c r="AW61" s="36" t="s">
        <v>1530</v>
      </c>
      <c r="AX61" s="36" t="s">
        <v>865</v>
      </c>
      <c r="AY61" s="32"/>
      <c r="AZ61" s="32"/>
      <c r="BA61" s="32" t="s">
        <v>106</v>
      </c>
      <c r="BB61" s="32"/>
      <c r="BC61" s="32" t="s">
        <v>866</v>
      </c>
      <c r="BD61" s="32" t="s">
        <v>121</v>
      </c>
      <c r="BE61" s="32">
        <v>2</v>
      </c>
      <c r="BF61" s="39" t="s">
        <v>867</v>
      </c>
      <c r="BG61" s="32" t="s">
        <v>868</v>
      </c>
      <c r="BH61" s="36" t="s">
        <v>124</v>
      </c>
      <c r="BI61" s="36" t="s">
        <v>125</v>
      </c>
      <c r="BJ61" s="36" t="s">
        <v>126</v>
      </c>
      <c r="BK61" s="36" t="s">
        <v>127</v>
      </c>
      <c r="BL61" s="36" t="s">
        <v>128</v>
      </c>
      <c r="BM61" s="36" t="s">
        <v>129</v>
      </c>
      <c r="BN61" s="36" t="s">
        <v>869</v>
      </c>
      <c r="BO61" s="36" t="s">
        <v>854</v>
      </c>
      <c r="BP61" s="37"/>
      <c r="BQ61" s="32" t="s">
        <v>106</v>
      </c>
      <c r="BR61" s="32"/>
      <c r="BS61" s="32" t="s">
        <v>106</v>
      </c>
      <c r="BT61" s="32"/>
      <c r="BU61" s="32"/>
      <c r="BV61" s="32"/>
      <c r="BW61" s="36" t="s">
        <v>855</v>
      </c>
      <c r="BX61" s="39" t="s">
        <v>856</v>
      </c>
      <c r="BY61" s="39" t="s">
        <v>870</v>
      </c>
    </row>
    <row r="62" spans="1:77" s="84" customFormat="1" ht="21.95" customHeight="1">
      <c r="A62" s="80">
        <v>2</v>
      </c>
      <c r="B62" s="76" t="s">
        <v>731</v>
      </c>
      <c r="C62" s="30" t="s">
        <v>732</v>
      </c>
      <c r="D62" s="31" t="s">
        <v>871</v>
      </c>
      <c r="E62" s="31" t="s">
        <v>842</v>
      </c>
      <c r="F62" s="32" t="s">
        <v>872</v>
      </c>
      <c r="G62" s="32" t="s">
        <v>873</v>
      </c>
      <c r="H62" s="32" t="s">
        <v>637</v>
      </c>
      <c r="I62" s="33" t="s">
        <v>874</v>
      </c>
      <c r="J62" s="34" t="s">
        <v>738</v>
      </c>
      <c r="K62" s="34" t="s">
        <v>100</v>
      </c>
      <c r="L62" s="34" t="s">
        <v>100</v>
      </c>
      <c r="M62" s="34" t="s">
        <v>100</v>
      </c>
      <c r="N62" s="34" t="s">
        <v>100</v>
      </c>
      <c r="O62" s="35" t="s">
        <v>101</v>
      </c>
      <c r="P62" s="33" t="s">
        <v>875</v>
      </c>
      <c r="Q62" s="36" t="s">
        <v>876</v>
      </c>
      <c r="R62" s="33" t="s">
        <v>877</v>
      </c>
      <c r="S62" s="31" t="s">
        <v>140</v>
      </c>
      <c r="T62" s="37" t="s">
        <v>106</v>
      </c>
      <c r="U62" s="37" t="s">
        <v>106</v>
      </c>
      <c r="V62" s="37"/>
      <c r="W62" s="37" t="s">
        <v>106</v>
      </c>
      <c r="X62" s="37" t="s">
        <v>106</v>
      </c>
      <c r="Y62" s="37" t="s">
        <v>106</v>
      </c>
      <c r="Z62" s="32" t="s">
        <v>141</v>
      </c>
      <c r="AA62" s="32" t="s">
        <v>108</v>
      </c>
      <c r="AB62" s="37" t="s">
        <v>106</v>
      </c>
      <c r="AC62" s="37" t="s">
        <v>106</v>
      </c>
      <c r="AD62" s="37" t="s">
        <v>106</v>
      </c>
      <c r="AE62" s="37" t="s">
        <v>106</v>
      </c>
      <c r="AF62" s="37" t="s">
        <v>106</v>
      </c>
      <c r="AG62" s="37" t="s">
        <v>106</v>
      </c>
      <c r="AH62" s="32" t="s">
        <v>106</v>
      </c>
      <c r="AI62" s="31" t="s">
        <v>878</v>
      </c>
      <c r="AJ62" s="31" t="s">
        <v>646</v>
      </c>
      <c r="AK62" s="32" t="s">
        <v>879</v>
      </c>
      <c r="AL62" s="32" t="s">
        <v>625</v>
      </c>
      <c r="AM62" s="32" t="s">
        <v>880</v>
      </c>
      <c r="AN62" s="32" t="s">
        <v>881</v>
      </c>
      <c r="AO62" s="32" t="s">
        <v>113</v>
      </c>
      <c r="AP62" s="32" t="s">
        <v>114</v>
      </c>
      <c r="AQ62" s="32" t="s">
        <v>115</v>
      </c>
      <c r="AR62" s="32" t="s">
        <v>115</v>
      </c>
      <c r="AS62" s="32" t="s">
        <v>113</v>
      </c>
      <c r="AT62" s="32" t="s">
        <v>114</v>
      </c>
      <c r="AU62" s="32" t="s">
        <v>114</v>
      </c>
      <c r="AV62" s="38" t="s">
        <v>116</v>
      </c>
      <c r="AW62" s="36" t="s">
        <v>882</v>
      </c>
      <c r="AX62" s="36" t="s">
        <v>883</v>
      </c>
      <c r="AY62" s="32"/>
      <c r="AZ62" s="32"/>
      <c r="BA62" s="32" t="s">
        <v>106</v>
      </c>
      <c r="BB62" s="32"/>
      <c r="BC62" s="32" t="s">
        <v>884</v>
      </c>
      <c r="BD62" s="32" t="s">
        <v>162</v>
      </c>
      <c r="BE62" s="32">
        <v>2</v>
      </c>
      <c r="BF62" s="39" t="s">
        <v>885</v>
      </c>
      <c r="BG62" s="32" t="s">
        <v>748</v>
      </c>
      <c r="BH62" s="36" t="s">
        <v>124</v>
      </c>
      <c r="BI62" s="36" t="s">
        <v>125</v>
      </c>
      <c r="BJ62" s="36" t="s">
        <v>126</v>
      </c>
      <c r="BK62" s="36" t="s">
        <v>127</v>
      </c>
      <c r="BL62" s="36" t="s">
        <v>128</v>
      </c>
      <c r="BM62" s="36" t="s">
        <v>129</v>
      </c>
      <c r="BN62" s="36" t="s">
        <v>886</v>
      </c>
      <c r="BO62" s="36" t="s">
        <v>887</v>
      </c>
      <c r="BP62" s="37"/>
      <c r="BQ62" s="32" t="s">
        <v>106</v>
      </c>
      <c r="BR62" s="32"/>
      <c r="BS62" s="32" t="s">
        <v>106</v>
      </c>
      <c r="BT62" s="32"/>
      <c r="BU62" s="32"/>
      <c r="BV62" s="32"/>
      <c r="BW62" s="36" t="s">
        <v>888</v>
      </c>
      <c r="BX62" s="39" t="s">
        <v>889</v>
      </c>
      <c r="BY62" s="39" t="s">
        <v>890</v>
      </c>
    </row>
    <row r="63" spans="1:77" s="84" customFormat="1" ht="21.95" customHeight="1">
      <c r="A63" s="80">
        <v>2</v>
      </c>
      <c r="B63" s="76" t="s">
        <v>731</v>
      </c>
      <c r="C63" s="30" t="s">
        <v>732</v>
      </c>
      <c r="D63" s="31" t="s">
        <v>871</v>
      </c>
      <c r="E63" s="31" t="s">
        <v>842</v>
      </c>
      <c r="F63" s="32" t="s">
        <v>891</v>
      </c>
      <c r="G63" s="32" t="s">
        <v>892</v>
      </c>
      <c r="H63" s="32" t="s">
        <v>637</v>
      </c>
      <c r="I63" s="33" t="s">
        <v>893</v>
      </c>
      <c r="J63" s="34" t="s">
        <v>738</v>
      </c>
      <c r="K63" s="34" t="s">
        <v>100</v>
      </c>
      <c r="L63" s="34" t="s">
        <v>738</v>
      </c>
      <c r="M63" s="34" t="s">
        <v>100</v>
      </c>
      <c r="N63" s="34" t="s">
        <v>100</v>
      </c>
      <c r="O63" s="35" t="s">
        <v>640</v>
      </c>
      <c r="P63" s="33" t="s">
        <v>894</v>
      </c>
      <c r="Q63" s="36" t="s">
        <v>895</v>
      </c>
      <c r="R63" s="33" t="s">
        <v>896</v>
      </c>
      <c r="S63" s="31" t="s">
        <v>257</v>
      </c>
      <c r="T63" s="37" t="s">
        <v>106</v>
      </c>
      <c r="U63" s="37" t="s">
        <v>106</v>
      </c>
      <c r="V63" s="37"/>
      <c r="W63" s="37" t="s">
        <v>106</v>
      </c>
      <c r="X63" s="37" t="s">
        <v>106</v>
      </c>
      <c r="Y63" s="37" t="s">
        <v>106</v>
      </c>
      <c r="Z63" s="32" t="s">
        <v>107</v>
      </c>
      <c r="AA63" s="32" t="s">
        <v>108</v>
      </c>
      <c r="AB63" s="37" t="s">
        <v>106</v>
      </c>
      <c r="AC63" s="37" t="s">
        <v>106</v>
      </c>
      <c r="AD63" s="37" t="s">
        <v>106</v>
      </c>
      <c r="AE63" s="37" t="s">
        <v>106</v>
      </c>
      <c r="AF63" s="37" t="s">
        <v>106</v>
      </c>
      <c r="AG63" s="37"/>
      <c r="AH63" s="32" t="s">
        <v>106</v>
      </c>
      <c r="AI63" s="31" t="s">
        <v>897</v>
      </c>
      <c r="AJ63" s="31" t="s">
        <v>697</v>
      </c>
      <c r="AK63" s="32" t="s">
        <v>647</v>
      </c>
      <c r="AL63" s="32" t="s">
        <v>761</v>
      </c>
      <c r="AM63" s="32" t="s">
        <v>898</v>
      </c>
      <c r="AN63" s="32" t="s">
        <v>592</v>
      </c>
      <c r="AO63" s="32" t="s">
        <v>114</v>
      </c>
      <c r="AP63" s="32" t="s">
        <v>592</v>
      </c>
      <c r="AQ63" s="32" t="s">
        <v>592</v>
      </c>
      <c r="AR63" s="32" t="s">
        <v>114</v>
      </c>
      <c r="AS63" s="32" t="s">
        <v>114</v>
      </c>
      <c r="AT63" s="32" t="s">
        <v>114</v>
      </c>
      <c r="AU63" s="32" t="s">
        <v>115</v>
      </c>
      <c r="AV63" s="38" t="s">
        <v>116</v>
      </c>
      <c r="AW63" s="36" t="s">
        <v>899</v>
      </c>
      <c r="AX63" s="36" t="s">
        <v>900</v>
      </c>
      <c r="AY63" s="32"/>
      <c r="AZ63" s="32"/>
      <c r="BA63" s="32" t="s">
        <v>106</v>
      </c>
      <c r="BB63" s="32"/>
      <c r="BC63" s="32" t="s">
        <v>901</v>
      </c>
      <c r="BD63" s="32" t="s">
        <v>162</v>
      </c>
      <c r="BE63" s="32">
        <v>2</v>
      </c>
      <c r="BF63" s="39" t="s">
        <v>902</v>
      </c>
      <c r="BG63" s="32" t="s">
        <v>748</v>
      </c>
      <c r="BH63" s="36" t="s">
        <v>124</v>
      </c>
      <c r="BI63" s="36" t="s">
        <v>125</v>
      </c>
      <c r="BJ63" s="36" t="s">
        <v>126</v>
      </c>
      <c r="BK63" s="36" t="s">
        <v>127</v>
      </c>
      <c r="BL63" s="36" t="s">
        <v>128</v>
      </c>
      <c r="BM63" s="36" t="s">
        <v>129</v>
      </c>
      <c r="BN63" s="36" t="s">
        <v>903</v>
      </c>
      <c r="BO63" s="36" t="s">
        <v>904</v>
      </c>
      <c r="BP63" s="37"/>
      <c r="BQ63" s="32" t="s">
        <v>106</v>
      </c>
      <c r="BR63" s="32"/>
      <c r="BS63" s="32" t="s">
        <v>106</v>
      </c>
      <c r="BT63" s="32"/>
      <c r="BU63" s="32"/>
      <c r="BV63" s="32"/>
      <c r="BW63" s="36" t="s">
        <v>905</v>
      </c>
      <c r="BX63" s="39" t="s">
        <v>906</v>
      </c>
      <c r="BY63" s="39" t="s">
        <v>907</v>
      </c>
    </row>
    <row r="64" spans="1:77" s="84" customFormat="1" ht="21.95" customHeight="1">
      <c r="A64" s="80">
        <v>2</v>
      </c>
      <c r="B64" s="76" t="s">
        <v>731</v>
      </c>
      <c r="C64" s="30" t="s">
        <v>732</v>
      </c>
      <c r="D64" s="31" t="s">
        <v>841</v>
      </c>
      <c r="E64" s="31" t="s">
        <v>842</v>
      </c>
      <c r="F64" s="32" t="s">
        <v>908</v>
      </c>
      <c r="G64" s="32" t="s">
        <v>909</v>
      </c>
      <c r="H64" s="32" t="s">
        <v>637</v>
      </c>
      <c r="I64" s="33" t="s">
        <v>910</v>
      </c>
      <c r="J64" s="34" t="s">
        <v>738</v>
      </c>
      <c r="K64" s="34" t="s">
        <v>100</v>
      </c>
      <c r="L64" s="34" t="s">
        <v>100</v>
      </c>
      <c r="M64" s="34" t="s">
        <v>100</v>
      </c>
      <c r="N64" s="34" t="s">
        <v>100</v>
      </c>
      <c r="O64" s="35" t="s">
        <v>101</v>
      </c>
      <c r="P64" s="33" t="s">
        <v>911</v>
      </c>
      <c r="Q64" s="36" t="s">
        <v>912</v>
      </c>
      <c r="R64" s="33" t="s">
        <v>913</v>
      </c>
      <c r="S64" s="31" t="s">
        <v>140</v>
      </c>
      <c r="T64" s="37" t="s">
        <v>106</v>
      </c>
      <c r="U64" s="37" t="s">
        <v>106</v>
      </c>
      <c r="V64" s="37"/>
      <c r="W64" s="37" t="s">
        <v>106</v>
      </c>
      <c r="X64" s="37" t="s">
        <v>106</v>
      </c>
      <c r="Y64" s="37" t="s">
        <v>106</v>
      </c>
      <c r="Z64" s="32" t="s">
        <v>803</v>
      </c>
      <c r="AA64" s="32" t="s">
        <v>108</v>
      </c>
      <c r="AB64" s="37" t="s">
        <v>106</v>
      </c>
      <c r="AC64" s="37" t="s">
        <v>106</v>
      </c>
      <c r="AD64" s="37" t="s">
        <v>106</v>
      </c>
      <c r="AE64" s="37" t="s">
        <v>106</v>
      </c>
      <c r="AF64" s="37" t="s">
        <v>106</v>
      </c>
      <c r="AG64" s="37"/>
      <c r="AH64" s="32" t="s">
        <v>106</v>
      </c>
      <c r="AI64" s="31" t="s">
        <v>914</v>
      </c>
      <c r="AJ64" s="31" t="s">
        <v>646</v>
      </c>
      <c r="AK64" s="32" t="s">
        <v>111</v>
      </c>
      <c r="AL64" s="32" t="s">
        <v>112</v>
      </c>
      <c r="AM64" s="32" t="s">
        <v>111</v>
      </c>
      <c r="AN64" s="32" t="s">
        <v>592</v>
      </c>
      <c r="AO64" s="32" t="s">
        <v>115</v>
      </c>
      <c r="AP64" s="32" t="s">
        <v>592</v>
      </c>
      <c r="AQ64" s="32" t="s">
        <v>592</v>
      </c>
      <c r="AR64" s="32" t="s">
        <v>114</v>
      </c>
      <c r="AS64" s="32" t="s">
        <v>114</v>
      </c>
      <c r="AT64" s="32" t="s">
        <v>114</v>
      </c>
      <c r="AU64" s="32" t="s">
        <v>114</v>
      </c>
      <c r="AV64" s="38" t="s">
        <v>116</v>
      </c>
      <c r="AW64" s="36" t="s">
        <v>915</v>
      </c>
      <c r="AX64" s="36" t="s">
        <v>916</v>
      </c>
      <c r="AY64" s="32"/>
      <c r="AZ64" s="32"/>
      <c r="BA64" s="32" t="s">
        <v>106</v>
      </c>
      <c r="BB64" s="32"/>
      <c r="BC64" s="32" t="s">
        <v>917</v>
      </c>
      <c r="BD64" s="32" t="s">
        <v>162</v>
      </c>
      <c r="BE64" s="32">
        <v>2</v>
      </c>
      <c r="BF64" s="39" t="s">
        <v>918</v>
      </c>
      <c r="BG64" s="32" t="s">
        <v>748</v>
      </c>
      <c r="BH64" s="36" t="s">
        <v>124</v>
      </c>
      <c r="BI64" s="36" t="s">
        <v>125</v>
      </c>
      <c r="BJ64" s="36" t="s">
        <v>126</v>
      </c>
      <c r="BK64" s="36" t="s">
        <v>127</v>
      </c>
      <c r="BL64" s="36" t="s">
        <v>128</v>
      </c>
      <c r="BM64" s="36" t="s">
        <v>129</v>
      </c>
      <c r="BN64" s="36" t="s">
        <v>919</v>
      </c>
      <c r="BO64" s="36" t="s">
        <v>920</v>
      </c>
      <c r="BP64" s="37"/>
      <c r="BQ64" s="32" t="s">
        <v>106</v>
      </c>
      <c r="BR64" s="32"/>
      <c r="BS64" s="32" t="s">
        <v>106</v>
      </c>
      <c r="BT64" s="32"/>
      <c r="BU64" s="32"/>
      <c r="BV64" s="32"/>
      <c r="BW64" s="36" t="s">
        <v>888</v>
      </c>
      <c r="BX64" s="39" t="s">
        <v>889</v>
      </c>
      <c r="BY64" s="39" t="s">
        <v>907</v>
      </c>
    </row>
    <row r="65" spans="1:77" s="84" customFormat="1" ht="21.95" customHeight="1">
      <c r="A65" s="80">
        <v>1</v>
      </c>
      <c r="B65" s="76" t="s">
        <v>731</v>
      </c>
      <c r="C65" s="30" t="s">
        <v>732</v>
      </c>
      <c r="D65" s="31" t="s">
        <v>921</v>
      </c>
      <c r="E65" s="31" t="s">
        <v>922</v>
      </c>
      <c r="F65" s="32" t="s">
        <v>923</v>
      </c>
      <c r="G65" s="32" t="s">
        <v>924</v>
      </c>
      <c r="H65" s="32" t="s">
        <v>546</v>
      </c>
      <c r="I65" s="33" t="s">
        <v>925</v>
      </c>
      <c r="J65" s="34" t="s">
        <v>100</v>
      </c>
      <c r="K65" s="34" t="s">
        <v>100</v>
      </c>
      <c r="L65" s="34" t="s">
        <v>100</v>
      </c>
      <c r="M65" s="34" t="s">
        <v>100</v>
      </c>
      <c r="N65" s="34" t="s">
        <v>100</v>
      </c>
      <c r="O65" s="35" t="s">
        <v>101</v>
      </c>
      <c r="P65" s="33" t="s">
        <v>926</v>
      </c>
      <c r="Q65" s="36" t="s">
        <v>927</v>
      </c>
      <c r="R65" s="33" t="s">
        <v>928</v>
      </c>
      <c r="S65" s="31" t="s">
        <v>105</v>
      </c>
      <c r="T65" s="37" t="s">
        <v>106</v>
      </c>
      <c r="U65" s="37" t="s">
        <v>106</v>
      </c>
      <c r="V65" s="37"/>
      <c r="W65" s="37"/>
      <c r="X65" s="37" t="s">
        <v>106</v>
      </c>
      <c r="Y65" s="37"/>
      <c r="Z65" s="32" t="s">
        <v>863</v>
      </c>
      <c r="AA65" s="32" t="s">
        <v>108</v>
      </c>
      <c r="AB65" s="37"/>
      <c r="AC65" s="37" t="s">
        <v>106</v>
      </c>
      <c r="AD65" s="37" t="s">
        <v>106</v>
      </c>
      <c r="AE65" s="37"/>
      <c r="AF65" s="37" t="s">
        <v>106</v>
      </c>
      <c r="AG65" s="37"/>
      <c r="AH65" s="32"/>
      <c r="AI65" s="31" t="s">
        <v>929</v>
      </c>
      <c r="AJ65" s="31" t="s">
        <v>142</v>
      </c>
      <c r="AK65" s="32" t="s">
        <v>111</v>
      </c>
      <c r="AL65" s="32" t="s">
        <v>930</v>
      </c>
      <c r="AM65" s="32" t="s">
        <v>111</v>
      </c>
      <c r="AN65" s="32" t="s">
        <v>114</v>
      </c>
      <c r="AO65" s="32" t="s">
        <v>115</v>
      </c>
      <c r="AP65" s="32" t="s">
        <v>114</v>
      </c>
      <c r="AQ65" s="32" t="s">
        <v>114</v>
      </c>
      <c r="AR65" s="32" t="s">
        <v>114</v>
      </c>
      <c r="AS65" s="32" t="s">
        <v>113</v>
      </c>
      <c r="AT65" s="32" t="s">
        <v>113</v>
      </c>
      <c r="AU65" s="32" t="s">
        <v>114</v>
      </c>
      <c r="AV65" s="38" t="s">
        <v>116</v>
      </c>
      <c r="AW65" s="36" t="s">
        <v>931</v>
      </c>
      <c r="AX65" s="36" t="s">
        <v>932</v>
      </c>
      <c r="AY65" s="32"/>
      <c r="AZ65" s="32"/>
      <c r="BA65" s="32" t="s">
        <v>106</v>
      </c>
      <c r="BB65" s="32"/>
      <c r="BC65" s="32" t="s">
        <v>933</v>
      </c>
      <c r="BD65" s="32" t="s">
        <v>162</v>
      </c>
      <c r="BE65" s="32">
        <v>1</v>
      </c>
      <c r="BF65" s="39" t="s">
        <v>934</v>
      </c>
      <c r="BG65" s="32" t="s">
        <v>868</v>
      </c>
      <c r="BH65" s="36" t="s">
        <v>124</v>
      </c>
      <c r="BI65" s="36" t="s">
        <v>125</v>
      </c>
      <c r="BJ65" s="36" t="s">
        <v>126</v>
      </c>
      <c r="BK65" s="36" t="s">
        <v>127</v>
      </c>
      <c r="BL65" s="36" t="s">
        <v>128</v>
      </c>
      <c r="BM65" s="36" t="s">
        <v>129</v>
      </c>
      <c r="BN65" s="36" t="s">
        <v>935</v>
      </c>
      <c r="BO65" s="36" t="s">
        <v>936</v>
      </c>
      <c r="BP65" s="37"/>
      <c r="BQ65" s="32" t="s">
        <v>106</v>
      </c>
      <c r="BR65" s="32"/>
      <c r="BS65" s="32" t="s">
        <v>106</v>
      </c>
      <c r="BT65" s="32"/>
      <c r="BU65" s="32"/>
      <c r="BV65" s="32"/>
      <c r="BW65" s="36"/>
      <c r="BX65" s="39"/>
      <c r="BY65" s="39"/>
    </row>
    <row r="66" spans="1:77" s="84" customFormat="1" ht="21.95" customHeight="1">
      <c r="A66" s="80">
        <v>2</v>
      </c>
      <c r="B66" s="76" t="s">
        <v>731</v>
      </c>
      <c r="C66" s="30" t="s">
        <v>732</v>
      </c>
      <c r="D66" s="31" t="s">
        <v>937</v>
      </c>
      <c r="E66" s="31" t="s">
        <v>922</v>
      </c>
      <c r="F66" s="32" t="s">
        <v>938</v>
      </c>
      <c r="G66" s="32" t="s">
        <v>939</v>
      </c>
      <c r="H66" s="32" t="s">
        <v>787</v>
      </c>
      <c r="I66" s="33" t="s">
        <v>940</v>
      </c>
      <c r="J66" s="34" t="s">
        <v>100</v>
      </c>
      <c r="K66" s="34" t="s">
        <v>100</v>
      </c>
      <c r="L66" s="34" t="s">
        <v>100</v>
      </c>
      <c r="M66" s="34" t="s">
        <v>100</v>
      </c>
      <c r="N66" s="34" t="s">
        <v>100</v>
      </c>
      <c r="O66" s="35" t="s">
        <v>101</v>
      </c>
      <c r="P66" s="33" t="s">
        <v>941</v>
      </c>
      <c r="Q66" s="36" t="s">
        <v>942</v>
      </c>
      <c r="R66" s="33" t="s">
        <v>943</v>
      </c>
      <c r="S66" s="31" t="s">
        <v>140</v>
      </c>
      <c r="T66" s="37" t="s">
        <v>106</v>
      </c>
      <c r="U66" s="37" t="s">
        <v>106</v>
      </c>
      <c r="V66" s="37"/>
      <c r="W66" s="37" t="s">
        <v>106</v>
      </c>
      <c r="X66" s="37" t="s">
        <v>106</v>
      </c>
      <c r="Y66" s="37" t="s">
        <v>106</v>
      </c>
      <c r="Z66" s="32" t="s">
        <v>141</v>
      </c>
      <c r="AA66" s="32" t="s">
        <v>108</v>
      </c>
      <c r="AB66" s="37" t="s">
        <v>106</v>
      </c>
      <c r="AC66" s="37" t="s">
        <v>106</v>
      </c>
      <c r="AD66" s="37" t="s">
        <v>106</v>
      </c>
      <c r="AE66" s="37" t="s">
        <v>106</v>
      </c>
      <c r="AF66" s="37" t="s">
        <v>106</v>
      </c>
      <c r="AG66" s="37" t="s">
        <v>106</v>
      </c>
      <c r="AH66" s="32" t="s">
        <v>106</v>
      </c>
      <c r="AI66" s="31" t="s">
        <v>944</v>
      </c>
      <c r="AJ66" s="31" t="s">
        <v>945</v>
      </c>
      <c r="AK66" s="32" t="s">
        <v>698</v>
      </c>
      <c r="AL66" s="32" t="s">
        <v>625</v>
      </c>
      <c r="AM66" s="32" t="s">
        <v>946</v>
      </c>
      <c r="AN66" s="32" t="s">
        <v>881</v>
      </c>
      <c r="AO66" s="32" t="s">
        <v>114</v>
      </c>
      <c r="AP66" s="32" t="s">
        <v>114</v>
      </c>
      <c r="AQ66" s="32" t="s">
        <v>114</v>
      </c>
      <c r="AR66" s="32" t="s">
        <v>114</v>
      </c>
      <c r="AS66" s="32" t="s">
        <v>114</v>
      </c>
      <c r="AT66" s="32" t="s">
        <v>114</v>
      </c>
      <c r="AU66" s="32" t="s">
        <v>114</v>
      </c>
      <c r="AV66" s="38" t="s">
        <v>116</v>
      </c>
      <c r="AW66" s="36" t="s">
        <v>947</v>
      </c>
      <c r="AX66" s="36" t="s">
        <v>948</v>
      </c>
      <c r="AY66" s="32"/>
      <c r="AZ66" s="32"/>
      <c r="BA66" s="32" t="s">
        <v>106</v>
      </c>
      <c r="BB66" s="32"/>
      <c r="BC66" s="32" t="s">
        <v>949</v>
      </c>
      <c r="BD66" s="32" t="s">
        <v>162</v>
      </c>
      <c r="BE66" s="32">
        <v>2</v>
      </c>
      <c r="BF66" s="39" t="s">
        <v>950</v>
      </c>
      <c r="BG66" s="32" t="s">
        <v>748</v>
      </c>
      <c r="BH66" s="36" t="s">
        <v>124</v>
      </c>
      <c r="BI66" s="36" t="s">
        <v>125</v>
      </c>
      <c r="BJ66" s="36" t="s">
        <v>126</v>
      </c>
      <c r="BK66" s="36" t="s">
        <v>127</v>
      </c>
      <c r="BL66" s="36" t="s">
        <v>128</v>
      </c>
      <c r="BM66" s="36" t="s">
        <v>129</v>
      </c>
      <c r="BN66" s="36" t="s">
        <v>951</v>
      </c>
      <c r="BO66" s="36" t="s">
        <v>952</v>
      </c>
      <c r="BP66" s="37"/>
      <c r="BQ66" s="32" t="s">
        <v>106</v>
      </c>
      <c r="BR66" s="32"/>
      <c r="BS66" s="32" t="s">
        <v>106</v>
      </c>
      <c r="BT66" s="32"/>
      <c r="BU66" s="32"/>
      <c r="BV66" s="32"/>
      <c r="BW66" s="36" t="s">
        <v>905</v>
      </c>
      <c r="BX66" s="39" t="s">
        <v>889</v>
      </c>
      <c r="BY66" s="39" t="s">
        <v>907</v>
      </c>
    </row>
    <row r="67" spans="1:77" s="84" customFormat="1" ht="21.95" customHeight="1">
      <c r="A67" s="80">
        <v>2</v>
      </c>
      <c r="B67" s="76" t="s">
        <v>640</v>
      </c>
      <c r="C67" s="30" t="s">
        <v>953</v>
      </c>
      <c r="D67" s="31" t="s">
        <v>954</v>
      </c>
      <c r="E67" s="31" t="s">
        <v>955</v>
      </c>
      <c r="F67" s="32" t="s">
        <v>956</v>
      </c>
      <c r="G67" s="32" t="s">
        <v>957</v>
      </c>
      <c r="H67" s="32" t="s">
        <v>98</v>
      </c>
      <c r="I67" s="33" t="s">
        <v>958</v>
      </c>
      <c r="J67" s="34" t="s">
        <v>100</v>
      </c>
      <c r="K67" s="34" t="s">
        <v>738</v>
      </c>
      <c r="L67" s="34" t="s">
        <v>100</v>
      </c>
      <c r="M67" s="34" t="s">
        <v>100</v>
      </c>
      <c r="N67" s="34" t="s">
        <v>100</v>
      </c>
      <c r="O67" s="35" t="s">
        <v>101</v>
      </c>
      <c r="P67" s="33" t="s">
        <v>959</v>
      </c>
      <c r="Q67" s="36" t="s">
        <v>960</v>
      </c>
      <c r="R67" s="33" t="s">
        <v>961</v>
      </c>
      <c r="S67" s="31" t="s">
        <v>962</v>
      </c>
      <c r="T67" s="37"/>
      <c r="U67" s="37" t="s">
        <v>106</v>
      </c>
      <c r="V67" s="37"/>
      <c r="W67" s="37" t="s">
        <v>106</v>
      </c>
      <c r="X67" s="37" t="s">
        <v>106</v>
      </c>
      <c r="Y67" s="37"/>
      <c r="Z67" s="32" t="s">
        <v>107</v>
      </c>
      <c r="AA67" s="32" t="s">
        <v>108</v>
      </c>
      <c r="AB67" s="37" t="s">
        <v>106</v>
      </c>
      <c r="AC67" s="37" t="s">
        <v>106</v>
      </c>
      <c r="AD67" s="32"/>
      <c r="AE67" s="32"/>
      <c r="AF67" s="32"/>
      <c r="AG67" s="37" t="s">
        <v>106</v>
      </c>
      <c r="AH67" s="32"/>
      <c r="AI67" s="31" t="s">
        <v>963</v>
      </c>
      <c r="AJ67" s="31" t="s">
        <v>697</v>
      </c>
      <c r="AK67" s="32" t="s">
        <v>111</v>
      </c>
      <c r="AL67" s="32" t="s">
        <v>761</v>
      </c>
      <c r="AM67" s="32" t="s">
        <v>111</v>
      </c>
      <c r="AN67" s="32" t="s">
        <v>114</v>
      </c>
      <c r="AO67" s="32" t="s">
        <v>114</v>
      </c>
      <c r="AP67" s="32" t="s">
        <v>115</v>
      </c>
      <c r="AQ67" s="32" t="s">
        <v>744</v>
      </c>
      <c r="AR67" s="32" t="s">
        <v>115</v>
      </c>
      <c r="AS67" s="32" t="s">
        <v>881</v>
      </c>
      <c r="AT67" s="32" t="s">
        <v>115</v>
      </c>
      <c r="AU67" s="32" t="s">
        <v>114</v>
      </c>
      <c r="AV67" s="38" t="s">
        <v>116</v>
      </c>
      <c r="AW67" s="36" t="s">
        <v>964</v>
      </c>
      <c r="AX67" s="36" t="s">
        <v>965</v>
      </c>
      <c r="AY67" s="32"/>
      <c r="AZ67" s="32"/>
      <c r="BA67" s="32" t="s">
        <v>106</v>
      </c>
      <c r="BB67" s="32"/>
      <c r="BC67" s="32" t="s">
        <v>966</v>
      </c>
      <c r="BD67" s="32" t="s">
        <v>121</v>
      </c>
      <c r="BE67" s="32">
        <v>2</v>
      </c>
      <c r="BF67" s="39" t="s">
        <v>967</v>
      </c>
      <c r="BG67" s="32" t="s">
        <v>968</v>
      </c>
      <c r="BH67" s="36" t="s">
        <v>124</v>
      </c>
      <c r="BI67" s="36" t="s">
        <v>125</v>
      </c>
      <c r="BJ67" s="36" t="s">
        <v>126</v>
      </c>
      <c r="BK67" s="36" t="s">
        <v>127</v>
      </c>
      <c r="BL67" s="36" t="s">
        <v>128</v>
      </c>
      <c r="BM67" s="36" t="s">
        <v>129</v>
      </c>
      <c r="BN67" s="36" t="s">
        <v>969</v>
      </c>
      <c r="BO67" s="36" t="s">
        <v>970</v>
      </c>
      <c r="BP67" s="37"/>
      <c r="BQ67" s="32" t="s">
        <v>106</v>
      </c>
      <c r="BR67" s="32"/>
      <c r="BS67" s="32" t="s">
        <v>106</v>
      </c>
      <c r="BT67" s="32"/>
      <c r="BU67" s="32"/>
      <c r="BV67" s="32"/>
      <c r="BW67" s="71"/>
      <c r="BX67" s="71"/>
      <c r="BY67" s="71"/>
    </row>
    <row r="68" spans="1:77" s="84" customFormat="1" ht="21.95" customHeight="1">
      <c r="A68" s="80">
        <v>2</v>
      </c>
      <c r="B68" s="76" t="s">
        <v>640</v>
      </c>
      <c r="C68" s="30" t="s">
        <v>953</v>
      </c>
      <c r="D68" s="31" t="s">
        <v>971</v>
      </c>
      <c r="E68" s="31" t="s">
        <v>972</v>
      </c>
      <c r="F68" s="32" t="s">
        <v>973</v>
      </c>
      <c r="G68" s="32" t="s">
        <v>974</v>
      </c>
      <c r="H68" s="32" t="s">
        <v>546</v>
      </c>
      <c r="I68" s="33" t="s">
        <v>975</v>
      </c>
      <c r="J68" s="34" t="s">
        <v>100</v>
      </c>
      <c r="K68" s="34" t="s">
        <v>738</v>
      </c>
      <c r="L68" s="34" t="s">
        <v>100</v>
      </c>
      <c r="M68" s="34" t="s">
        <v>100</v>
      </c>
      <c r="N68" s="34" t="s">
        <v>100</v>
      </c>
      <c r="O68" s="35" t="s">
        <v>101</v>
      </c>
      <c r="P68" s="33" t="s">
        <v>976</v>
      </c>
      <c r="Q68" s="36" t="s">
        <v>977</v>
      </c>
      <c r="R68" s="33" t="s">
        <v>978</v>
      </c>
      <c r="S68" s="31" t="s">
        <v>257</v>
      </c>
      <c r="T68" s="37" t="s">
        <v>106</v>
      </c>
      <c r="U68" s="37" t="s">
        <v>106</v>
      </c>
      <c r="V68" s="37"/>
      <c r="W68" s="37" t="s">
        <v>106</v>
      </c>
      <c r="X68" s="37" t="s">
        <v>106</v>
      </c>
      <c r="Y68" s="37"/>
      <c r="Z68" s="32" t="s">
        <v>107</v>
      </c>
      <c r="AA68" s="32" t="s">
        <v>108</v>
      </c>
      <c r="AB68" s="37"/>
      <c r="AC68" s="37" t="s">
        <v>106</v>
      </c>
      <c r="AD68" s="37" t="s">
        <v>106</v>
      </c>
      <c r="AE68" s="37"/>
      <c r="AF68" s="37" t="s">
        <v>106</v>
      </c>
      <c r="AG68" s="37"/>
      <c r="AH68" s="32"/>
      <c r="AI68" s="31" t="s">
        <v>979</v>
      </c>
      <c r="AJ68" s="31" t="s">
        <v>695</v>
      </c>
      <c r="AK68" s="32" t="s">
        <v>111</v>
      </c>
      <c r="AL68" s="32" t="s">
        <v>625</v>
      </c>
      <c r="AM68" s="32" t="s">
        <v>111</v>
      </c>
      <c r="AN68" s="32" t="s">
        <v>115</v>
      </c>
      <c r="AO68" s="32" t="s">
        <v>702</v>
      </c>
      <c r="AP68" s="32" t="s">
        <v>592</v>
      </c>
      <c r="AQ68" s="32" t="s">
        <v>114</v>
      </c>
      <c r="AR68" s="32" t="s">
        <v>114</v>
      </c>
      <c r="AS68" s="32" t="s">
        <v>592</v>
      </c>
      <c r="AT68" s="32" t="s">
        <v>115</v>
      </c>
      <c r="AU68" s="32" t="s">
        <v>114</v>
      </c>
      <c r="AV68" s="38" t="s">
        <v>116</v>
      </c>
      <c r="AW68" s="36" t="s">
        <v>980</v>
      </c>
      <c r="AX68" s="36" t="s">
        <v>981</v>
      </c>
      <c r="AY68" s="32"/>
      <c r="AZ68" s="32"/>
      <c r="BA68" s="32" t="s">
        <v>106</v>
      </c>
      <c r="BB68" s="32"/>
      <c r="BC68" s="32" t="s">
        <v>982</v>
      </c>
      <c r="BD68" s="32" t="s">
        <v>121</v>
      </c>
      <c r="BE68" s="32">
        <v>2</v>
      </c>
      <c r="BF68" s="39" t="s">
        <v>983</v>
      </c>
      <c r="BG68" s="32" t="s">
        <v>984</v>
      </c>
      <c r="BH68" s="36" t="s">
        <v>124</v>
      </c>
      <c r="BI68" s="36" t="s">
        <v>125</v>
      </c>
      <c r="BJ68" s="36" t="s">
        <v>126</v>
      </c>
      <c r="BK68" s="36" t="s">
        <v>127</v>
      </c>
      <c r="BL68" s="36" t="s">
        <v>128</v>
      </c>
      <c r="BM68" s="36" t="s">
        <v>129</v>
      </c>
      <c r="BN68" s="36" t="s">
        <v>985</v>
      </c>
      <c r="BO68" s="36" t="s">
        <v>986</v>
      </c>
      <c r="BP68" s="37"/>
      <c r="BQ68" s="32" t="s">
        <v>106</v>
      </c>
      <c r="BR68" s="32"/>
      <c r="BS68" s="32" t="s">
        <v>106</v>
      </c>
      <c r="BT68" s="32"/>
      <c r="BU68" s="32"/>
      <c r="BV68" s="32"/>
      <c r="BW68" s="36" t="s">
        <v>987</v>
      </c>
      <c r="BX68" s="39" t="s">
        <v>988</v>
      </c>
      <c r="BY68" s="39" t="s">
        <v>989</v>
      </c>
    </row>
    <row r="69" spans="1:77" s="84" customFormat="1" ht="21.95" customHeight="1">
      <c r="A69" s="80">
        <v>2</v>
      </c>
      <c r="B69" s="76" t="s">
        <v>640</v>
      </c>
      <c r="C69" s="30" t="s">
        <v>953</v>
      </c>
      <c r="D69" s="31" t="s">
        <v>971</v>
      </c>
      <c r="E69" s="31" t="s">
        <v>972</v>
      </c>
      <c r="F69" s="32" t="s">
        <v>973</v>
      </c>
      <c r="G69" s="32" t="s">
        <v>990</v>
      </c>
      <c r="H69" s="32" t="s">
        <v>546</v>
      </c>
      <c r="I69" s="33" t="s">
        <v>975</v>
      </c>
      <c r="J69" s="34" t="s">
        <v>738</v>
      </c>
      <c r="K69" s="34" t="s">
        <v>100</v>
      </c>
      <c r="L69" s="34" t="s">
        <v>100</v>
      </c>
      <c r="M69" s="34" t="s">
        <v>100</v>
      </c>
      <c r="N69" s="34" t="s">
        <v>100</v>
      </c>
      <c r="O69" s="35" t="s">
        <v>101</v>
      </c>
      <c r="P69" s="33" t="s">
        <v>976</v>
      </c>
      <c r="Q69" s="36" t="s">
        <v>991</v>
      </c>
      <c r="R69" s="33" t="s">
        <v>992</v>
      </c>
      <c r="S69" s="31" t="s">
        <v>140</v>
      </c>
      <c r="T69" s="37" t="s">
        <v>106</v>
      </c>
      <c r="U69" s="37" t="s">
        <v>106</v>
      </c>
      <c r="V69" s="37"/>
      <c r="W69" s="37" t="s">
        <v>106</v>
      </c>
      <c r="X69" s="37" t="s">
        <v>106</v>
      </c>
      <c r="Y69" s="37"/>
      <c r="Z69" s="32" t="s">
        <v>141</v>
      </c>
      <c r="AA69" s="32" t="s">
        <v>108</v>
      </c>
      <c r="AB69" s="37"/>
      <c r="AC69" s="37" t="s">
        <v>106</v>
      </c>
      <c r="AD69" s="37" t="s">
        <v>106</v>
      </c>
      <c r="AE69" s="37" t="s">
        <v>106</v>
      </c>
      <c r="AF69" s="37" t="s">
        <v>106</v>
      </c>
      <c r="AG69" s="37"/>
      <c r="AH69" s="37" t="s">
        <v>106</v>
      </c>
      <c r="AI69" s="31" t="s">
        <v>993</v>
      </c>
      <c r="AJ69" s="31" t="s">
        <v>945</v>
      </c>
      <c r="AK69" s="32" t="s">
        <v>879</v>
      </c>
      <c r="AL69" s="32" t="s">
        <v>625</v>
      </c>
      <c r="AM69" s="32" t="s">
        <v>994</v>
      </c>
      <c r="AN69" s="32" t="s">
        <v>115</v>
      </c>
      <c r="AO69" s="32" t="s">
        <v>592</v>
      </c>
      <c r="AP69" s="32" t="s">
        <v>701</v>
      </c>
      <c r="AQ69" s="32" t="s">
        <v>592</v>
      </c>
      <c r="AR69" s="32" t="s">
        <v>114</v>
      </c>
      <c r="AS69" s="32" t="s">
        <v>701</v>
      </c>
      <c r="AT69" s="32" t="s">
        <v>744</v>
      </c>
      <c r="AU69" s="32" t="s">
        <v>592</v>
      </c>
      <c r="AV69" s="38" t="s">
        <v>626</v>
      </c>
      <c r="AW69" s="72" t="s">
        <v>1482</v>
      </c>
      <c r="AX69" s="72" t="s">
        <v>1483</v>
      </c>
      <c r="AY69" s="32"/>
      <c r="AZ69" s="32"/>
      <c r="BA69" s="32" t="s">
        <v>106</v>
      </c>
      <c r="BB69" s="32"/>
      <c r="BC69" s="32" t="s">
        <v>995</v>
      </c>
      <c r="BD69" s="32" t="s">
        <v>162</v>
      </c>
      <c r="BE69" s="32">
        <v>2</v>
      </c>
      <c r="BF69" s="39" t="s">
        <v>996</v>
      </c>
      <c r="BG69" s="32" t="s">
        <v>997</v>
      </c>
      <c r="BH69" s="36" t="s">
        <v>124</v>
      </c>
      <c r="BI69" s="36" t="s">
        <v>125</v>
      </c>
      <c r="BJ69" s="36" t="s">
        <v>126</v>
      </c>
      <c r="BK69" s="36" t="s">
        <v>127</v>
      </c>
      <c r="BL69" s="36" t="s">
        <v>128</v>
      </c>
      <c r="BM69" s="36" t="s">
        <v>129</v>
      </c>
      <c r="BN69" s="36" t="s">
        <v>998</v>
      </c>
      <c r="BO69" s="36" t="s">
        <v>986</v>
      </c>
      <c r="BP69" s="37"/>
      <c r="BQ69" s="32" t="s">
        <v>106</v>
      </c>
      <c r="BR69" s="32"/>
      <c r="BS69" s="32" t="s">
        <v>106</v>
      </c>
      <c r="BT69" s="32"/>
      <c r="BU69" s="32"/>
      <c r="BV69" s="32"/>
      <c r="BW69" s="36" t="s">
        <v>999</v>
      </c>
      <c r="BX69" s="39" t="s">
        <v>1000</v>
      </c>
      <c r="BY69" s="39" t="s">
        <v>1001</v>
      </c>
    </row>
    <row r="70" spans="1:77" s="84" customFormat="1" ht="21.95" customHeight="1">
      <c r="A70" s="80">
        <v>2</v>
      </c>
      <c r="B70" s="76" t="s">
        <v>640</v>
      </c>
      <c r="C70" s="30" t="s">
        <v>953</v>
      </c>
      <c r="D70" s="31" t="s">
        <v>971</v>
      </c>
      <c r="E70" s="31" t="s">
        <v>972</v>
      </c>
      <c r="F70" s="32" t="s">
        <v>1002</v>
      </c>
      <c r="G70" s="32" t="s">
        <v>1003</v>
      </c>
      <c r="H70" s="32" t="s">
        <v>546</v>
      </c>
      <c r="I70" s="33" t="s">
        <v>1004</v>
      </c>
      <c r="J70" s="34" t="s">
        <v>100</v>
      </c>
      <c r="K70" s="34" t="s">
        <v>738</v>
      </c>
      <c r="L70" s="34" t="s">
        <v>100</v>
      </c>
      <c r="M70" s="34" t="s">
        <v>100</v>
      </c>
      <c r="N70" s="34" t="s">
        <v>100</v>
      </c>
      <c r="O70" s="35" t="s">
        <v>101</v>
      </c>
      <c r="P70" s="33" t="s">
        <v>1005</v>
      </c>
      <c r="Q70" s="36" t="s">
        <v>1006</v>
      </c>
      <c r="R70" s="33" t="s">
        <v>1007</v>
      </c>
      <c r="S70" s="31" t="s">
        <v>257</v>
      </c>
      <c r="T70" s="37"/>
      <c r="U70" s="37" t="s">
        <v>106</v>
      </c>
      <c r="V70" s="37" t="s">
        <v>106</v>
      </c>
      <c r="W70" s="37" t="s">
        <v>106</v>
      </c>
      <c r="X70" s="37"/>
      <c r="Y70" s="37" t="s">
        <v>106</v>
      </c>
      <c r="Z70" s="32" t="s">
        <v>141</v>
      </c>
      <c r="AA70" s="32" t="s">
        <v>108</v>
      </c>
      <c r="AB70" s="37" t="s">
        <v>106</v>
      </c>
      <c r="AC70" s="37" t="s">
        <v>106</v>
      </c>
      <c r="AD70" s="32"/>
      <c r="AE70" s="32"/>
      <c r="AF70" s="32"/>
      <c r="AG70" s="37" t="s">
        <v>106</v>
      </c>
      <c r="AH70" s="32"/>
      <c r="AI70" s="31" t="s">
        <v>1008</v>
      </c>
      <c r="AJ70" s="31" t="s">
        <v>697</v>
      </c>
      <c r="AK70" s="32" t="s">
        <v>111</v>
      </c>
      <c r="AL70" s="32" t="s">
        <v>625</v>
      </c>
      <c r="AM70" s="32" t="s">
        <v>111</v>
      </c>
      <c r="AN70" s="32" t="s">
        <v>115</v>
      </c>
      <c r="AO70" s="32" t="s">
        <v>592</v>
      </c>
      <c r="AP70" s="32" t="s">
        <v>114</v>
      </c>
      <c r="AQ70" s="32" t="s">
        <v>114</v>
      </c>
      <c r="AR70" s="32" t="s">
        <v>114</v>
      </c>
      <c r="AS70" s="32" t="s">
        <v>114</v>
      </c>
      <c r="AT70" s="32" t="s">
        <v>114</v>
      </c>
      <c r="AU70" s="32" t="s">
        <v>114</v>
      </c>
      <c r="AV70" s="38" t="s">
        <v>116</v>
      </c>
      <c r="AW70" s="36" t="s">
        <v>1009</v>
      </c>
      <c r="AX70" s="36" t="s">
        <v>1499</v>
      </c>
      <c r="AY70" s="32"/>
      <c r="AZ70" s="32"/>
      <c r="BA70" s="32" t="s">
        <v>106</v>
      </c>
      <c r="BB70" s="32"/>
      <c r="BC70" s="32" t="s">
        <v>1010</v>
      </c>
      <c r="BD70" s="32" t="s">
        <v>162</v>
      </c>
      <c r="BE70" s="32">
        <v>2</v>
      </c>
      <c r="BF70" s="39" t="s">
        <v>1011</v>
      </c>
      <c r="BG70" s="32" t="s">
        <v>997</v>
      </c>
      <c r="BH70" s="36" t="s">
        <v>124</v>
      </c>
      <c r="BI70" s="36" t="s">
        <v>125</v>
      </c>
      <c r="BJ70" s="36" t="s">
        <v>126</v>
      </c>
      <c r="BK70" s="36" t="s">
        <v>127</v>
      </c>
      <c r="BL70" s="36" t="s">
        <v>128</v>
      </c>
      <c r="BM70" s="36" t="s">
        <v>129</v>
      </c>
      <c r="BN70" s="36" t="s">
        <v>1012</v>
      </c>
      <c r="BO70" s="36" t="s">
        <v>1013</v>
      </c>
      <c r="BP70" s="37"/>
      <c r="BQ70" s="32" t="s">
        <v>106</v>
      </c>
      <c r="BR70" s="32"/>
      <c r="BS70" s="32" t="s">
        <v>106</v>
      </c>
      <c r="BT70" s="32"/>
      <c r="BU70" s="32"/>
      <c r="BV70" s="32"/>
      <c r="BW70" s="71"/>
      <c r="BX70" s="71"/>
      <c r="BY70" s="71"/>
    </row>
    <row r="71" spans="1:77" s="84" customFormat="1" ht="21.95" customHeight="1">
      <c r="A71" s="80">
        <v>1</v>
      </c>
      <c r="B71" s="76" t="s">
        <v>640</v>
      </c>
      <c r="C71" s="30" t="s">
        <v>953</v>
      </c>
      <c r="D71" s="31" t="s">
        <v>971</v>
      </c>
      <c r="E71" s="31" t="s">
        <v>972</v>
      </c>
      <c r="F71" s="32" t="s">
        <v>1014</v>
      </c>
      <c r="G71" s="32" t="s">
        <v>1015</v>
      </c>
      <c r="H71" s="32" t="s">
        <v>546</v>
      </c>
      <c r="I71" s="33" t="s">
        <v>1016</v>
      </c>
      <c r="J71" s="34" t="s">
        <v>100</v>
      </c>
      <c r="K71" s="34" t="s">
        <v>738</v>
      </c>
      <c r="L71" s="34" t="s">
        <v>100</v>
      </c>
      <c r="M71" s="34" t="s">
        <v>100</v>
      </c>
      <c r="N71" s="34" t="s">
        <v>100</v>
      </c>
      <c r="O71" s="35" t="s">
        <v>101</v>
      </c>
      <c r="P71" s="33" t="s">
        <v>1017</v>
      </c>
      <c r="Q71" s="36" t="s">
        <v>1018</v>
      </c>
      <c r="R71" s="33" t="s">
        <v>1019</v>
      </c>
      <c r="S71" s="31" t="s">
        <v>105</v>
      </c>
      <c r="T71" s="37"/>
      <c r="U71" s="37"/>
      <c r="V71" s="37" t="s">
        <v>106</v>
      </c>
      <c r="W71" s="37"/>
      <c r="X71" s="37"/>
      <c r="Y71" s="37" t="s">
        <v>106</v>
      </c>
      <c r="Z71" s="32" t="s">
        <v>863</v>
      </c>
      <c r="AA71" s="32" t="s">
        <v>108</v>
      </c>
      <c r="AB71" s="37"/>
      <c r="AC71" s="37"/>
      <c r="AD71" s="37" t="s">
        <v>106</v>
      </c>
      <c r="AE71" s="37"/>
      <c r="AF71" s="37"/>
      <c r="AG71" s="37" t="s">
        <v>106</v>
      </c>
      <c r="AH71" s="32"/>
      <c r="AI71" s="31" t="s">
        <v>1020</v>
      </c>
      <c r="AJ71" s="31" t="s">
        <v>721</v>
      </c>
      <c r="AK71" s="32" t="s">
        <v>111</v>
      </c>
      <c r="AL71" s="32" t="s">
        <v>260</v>
      </c>
      <c r="AM71" s="32" t="s">
        <v>111</v>
      </c>
      <c r="AN71" s="32" t="s">
        <v>113</v>
      </c>
      <c r="AO71" s="32" t="s">
        <v>701</v>
      </c>
      <c r="AP71" s="32" t="s">
        <v>592</v>
      </c>
      <c r="AQ71" s="32" t="s">
        <v>701</v>
      </c>
      <c r="AR71" s="32" t="s">
        <v>115</v>
      </c>
      <c r="AS71" s="32" t="s">
        <v>701</v>
      </c>
      <c r="AT71" s="32" t="s">
        <v>702</v>
      </c>
      <c r="AU71" s="32" t="s">
        <v>114</v>
      </c>
      <c r="AV71" s="38" t="s">
        <v>626</v>
      </c>
      <c r="AW71" s="36" t="s">
        <v>1021</v>
      </c>
      <c r="AX71" s="36" t="s">
        <v>1022</v>
      </c>
      <c r="AY71" s="32" t="s">
        <v>106</v>
      </c>
      <c r="AZ71" s="32" t="s">
        <v>106</v>
      </c>
      <c r="BA71" s="32" t="s">
        <v>106</v>
      </c>
      <c r="BB71" s="32"/>
      <c r="BC71" s="32" t="s">
        <v>1023</v>
      </c>
      <c r="BD71" s="32" t="s">
        <v>162</v>
      </c>
      <c r="BE71" s="32">
        <v>1</v>
      </c>
      <c r="BF71" s="39" t="s">
        <v>1024</v>
      </c>
      <c r="BG71" s="32" t="s">
        <v>997</v>
      </c>
      <c r="BH71" s="36" t="s">
        <v>124</v>
      </c>
      <c r="BI71" s="36" t="s">
        <v>125</v>
      </c>
      <c r="BJ71" s="36" t="s">
        <v>126</v>
      </c>
      <c r="BK71" s="36" t="s">
        <v>127</v>
      </c>
      <c r="BL71" s="36" t="s">
        <v>128</v>
      </c>
      <c r="BM71" s="36" t="s">
        <v>129</v>
      </c>
      <c r="BN71" s="36" t="s">
        <v>1025</v>
      </c>
      <c r="BO71" s="36" t="s">
        <v>1026</v>
      </c>
      <c r="BP71" s="37"/>
      <c r="BQ71" s="32" t="s">
        <v>106</v>
      </c>
      <c r="BR71" s="32"/>
      <c r="BS71" s="32" t="s">
        <v>106</v>
      </c>
      <c r="BT71" s="32"/>
      <c r="BU71" s="32"/>
      <c r="BV71" s="32"/>
      <c r="BW71" s="36" t="s">
        <v>1027</v>
      </c>
      <c r="BX71" s="39" t="s">
        <v>988</v>
      </c>
      <c r="BY71" s="39" t="s">
        <v>1028</v>
      </c>
    </row>
    <row r="72" spans="1:77" s="81" customFormat="1" ht="21.95" customHeight="1">
      <c r="A72" s="60">
        <v>1</v>
      </c>
      <c r="B72" s="77" t="s">
        <v>640</v>
      </c>
      <c r="C72" s="41" t="s">
        <v>953</v>
      </c>
      <c r="D72" s="42" t="s">
        <v>971</v>
      </c>
      <c r="E72" s="42" t="s">
        <v>972</v>
      </c>
      <c r="F72" s="43" t="s">
        <v>1029</v>
      </c>
      <c r="G72" s="43" t="s">
        <v>1030</v>
      </c>
      <c r="H72" s="43" t="s">
        <v>488</v>
      </c>
      <c r="I72" s="44" t="s">
        <v>1031</v>
      </c>
      <c r="J72" s="45" t="s">
        <v>738</v>
      </c>
      <c r="K72" s="45" t="s">
        <v>100</v>
      </c>
      <c r="L72" s="45" t="s">
        <v>100</v>
      </c>
      <c r="M72" s="45" t="s">
        <v>738</v>
      </c>
      <c r="N72" s="45" t="s">
        <v>100</v>
      </c>
      <c r="O72" s="46" t="s">
        <v>640</v>
      </c>
      <c r="P72" s="44" t="s">
        <v>1032</v>
      </c>
      <c r="Q72" s="40" t="s">
        <v>1033</v>
      </c>
      <c r="R72" s="44" t="s">
        <v>1034</v>
      </c>
      <c r="S72" s="42" t="s">
        <v>140</v>
      </c>
      <c r="T72" s="47"/>
      <c r="U72" s="47" t="s">
        <v>106</v>
      </c>
      <c r="V72" s="47"/>
      <c r="W72" s="47" t="s">
        <v>106</v>
      </c>
      <c r="X72" s="47" t="s">
        <v>106</v>
      </c>
      <c r="Y72" s="47" t="s">
        <v>106</v>
      </c>
      <c r="Z72" s="43" t="s">
        <v>863</v>
      </c>
      <c r="AA72" s="43" t="s">
        <v>108</v>
      </c>
      <c r="AB72" s="47"/>
      <c r="AC72" s="47" t="s">
        <v>106</v>
      </c>
      <c r="AD72" s="47" t="s">
        <v>106</v>
      </c>
      <c r="AE72" s="47" t="s">
        <v>106</v>
      </c>
      <c r="AF72" s="47" t="s">
        <v>106</v>
      </c>
      <c r="AG72" s="47"/>
      <c r="AH72" s="43" t="s">
        <v>106</v>
      </c>
      <c r="AI72" s="42" t="s">
        <v>1035</v>
      </c>
      <c r="AJ72" s="42" t="s">
        <v>142</v>
      </c>
      <c r="AK72" s="43" t="s">
        <v>111</v>
      </c>
      <c r="AL72" s="43" t="s">
        <v>699</v>
      </c>
      <c r="AM72" s="43" t="s">
        <v>111</v>
      </c>
      <c r="AN72" s="43" t="s">
        <v>115</v>
      </c>
      <c r="AO72" s="43" t="s">
        <v>114</v>
      </c>
      <c r="AP72" s="43" t="s">
        <v>592</v>
      </c>
      <c r="AQ72" s="43" t="s">
        <v>881</v>
      </c>
      <c r="AR72" s="43" t="s">
        <v>701</v>
      </c>
      <c r="AS72" s="43" t="s">
        <v>114</v>
      </c>
      <c r="AT72" s="43" t="s">
        <v>744</v>
      </c>
      <c r="AU72" s="43" t="s">
        <v>115</v>
      </c>
      <c r="AV72" s="48" t="s">
        <v>116</v>
      </c>
      <c r="AW72" s="40" t="s">
        <v>1036</v>
      </c>
      <c r="AX72" s="40" t="s">
        <v>1037</v>
      </c>
      <c r="AY72" s="43"/>
      <c r="AZ72" s="43"/>
      <c r="BA72" s="43" t="s">
        <v>106</v>
      </c>
      <c r="BB72" s="43"/>
      <c r="BC72" s="43" t="s">
        <v>1038</v>
      </c>
      <c r="BD72" s="43" t="s">
        <v>176</v>
      </c>
      <c r="BE72" s="43">
        <v>1</v>
      </c>
      <c r="BF72" s="49" t="s">
        <v>1039</v>
      </c>
      <c r="BG72" s="43" t="s">
        <v>968</v>
      </c>
      <c r="BH72" s="40" t="s">
        <v>124</v>
      </c>
      <c r="BI72" s="40" t="s">
        <v>125</v>
      </c>
      <c r="BJ72" s="40" t="s">
        <v>126</v>
      </c>
      <c r="BK72" s="40" t="s">
        <v>127</v>
      </c>
      <c r="BL72" s="40" t="s">
        <v>128</v>
      </c>
      <c r="BM72" s="40" t="s">
        <v>129</v>
      </c>
      <c r="BN72" s="40" t="s">
        <v>1040</v>
      </c>
      <c r="BO72" s="40" t="s">
        <v>1041</v>
      </c>
      <c r="BP72" s="47"/>
      <c r="BQ72" s="43" t="s">
        <v>106</v>
      </c>
      <c r="BR72" s="43"/>
      <c r="BS72" s="43" t="s">
        <v>106</v>
      </c>
      <c r="BT72" s="43"/>
      <c r="BU72" s="43"/>
      <c r="BV72" s="43"/>
      <c r="BW72" s="40" t="s">
        <v>1042</v>
      </c>
      <c r="BX72" s="49" t="s">
        <v>1043</v>
      </c>
      <c r="BY72" s="49" t="s">
        <v>1044</v>
      </c>
    </row>
    <row r="73" spans="1:77" s="84" customFormat="1" ht="21.95" customHeight="1">
      <c r="A73" s="80">
        <v>1</v>
      </c>
      <c r="B73" s="76" t="s">
        <v>640</v>
      </c>
      <c r="C73" s="30" t="s">
        <v>953</v>
      </c>
      <c r="D73" s="31" t="s">
        <v>1045</v>
      </c>
      <c r="E73" s="31" t="s">
        <v>1046</v>
      </c>
      <c r="F73" s="32" t="s">
        <v>1047</v>
      </c>
      <c r="G73" s="32" t="s">
        <v>1500</v>
      </c>
      <c r="H73" s="32" t="s">
        <v>546</v>
      </c>
      <c r="I73" s="33" t="s">
        <v>1048</v>
      </c>
      <c r="J73" s="34" t="s">
        <v>100</v>
      </c>
      <c r="K73" s="34" t="s">
        <v>738</v>
      </c>
      <c r="L73" s="34" t="s">
        <v>100</v>
      </c>
      <c r="M73" s="34" t="s">
        <v>100</v>
      </c>
      <c r="N73" s="34" t="s">
        <v>100</v>
      </c>
      <c r="O73" s="35" t="s">
        <v>101</v>
      </c>
      <c r="P73" s="33" t="s">
        <v>1049</v>
      </c>
      <c r="Q73" s="36" t="s">
        <v>1050</v>
      </c>
      <c r="R73" s="33" t="s">
        <v>1051</v>
      </c>
      <c r="S73" s="31" t="s">
        <v>140</v>
      </c>
      <c r="T73" s="37" t="s">
        <v>106</v>
      </c>
      <c r="U73" s="37" t="s">
        <v>106</v>
      </c>
      <c r="V73" s="37"/>
      <c r="W73" s="37" t="s">
        <v>106</v>
      </c>
      <c r="X73" s="37" t="s">
        <v>106</v>
      </c>
      <c r="Y73" s="37"/>
      <c r="Z73" s="32" t="s">
        <v>107</v>
      </c>
      <c r="AA73" s="32" t="s">
        <v>108</v>
      </c>
      <c r="AB73" s="37" t="s">
        <v>106</v>
      </c>
      <c r="AC73" s="37" t="s">
        <v>106</v>
      </c>
      <c r="AD73" s="37" t="s">
        <v>106</v>
      </c>
      <c r="AE73" s="37"/>
      <c r="AF73" s="37"/>
      <c r="AG73" s="37"/>
      <c r="AH73" s="32"/>
      <c r="AI73" s="31" t="s">
        <v>1052</v>
      </c>
      <c r="AJ73" s="31" t="s">
        <v>142</v>
      </c>
      <c r="AK73" s="32" t="s">
        <v>111</v>
      </c>
      <c r="AL73" s="32" t="s">
        <v>625</v>
      </c>
      <c r="AM73" s="32" t="s">
        <v>111</v>
      </c>
      <c r="AN73" s="32" t="s">
        <v>114</v>
      </c>
      <c r="AO73" s="32" t="s">
        <v>592</v>
      </c>
      <c r="AP73" s="32" t="s">
        <v>702</v>
      </c>
      <c r="AQ73" s="32" t="s">
        <v>592</v>
      </c>
      <c r="AR73" s="32" t="s">
        <v>114</v>
      </c>
      <c r="AS73" s="32" t="s">
        <v>114</v>
      </c>
      <c r="AT73" s="32" t="s">
        <v>114</v>
      </c>
      <c r="AU73" s="32" t="s">
        <v>114</v>
      </c>
      <c r="AV73" s="38" t="s">
        <v>116</v>
      </c>
      <c r="AW73" s="36" t="s">
        <v>1053</v>
      </c>
      <c r="AX73" s="36" t="s">
        <v>1054</v>
      </c>
      <c r="AY73" s="32"/>
      <c r="AZ73" s="32"/>
      <c r="BA73" s="32" t="s">
        <v>106</v>
      </c>
      <c r="BB73" s="32"/>
      <c r="BC73" s="32" t="s">
        <v>1055</v>
      </c>
      <c r="BD73" s="32" t="s">
        <v>162</v>
      </c>
      <c r="BE73" s="32">
        <v>1</v>
      </c>
      <c r="BF73" s="39" t="s">
        <v>1056</v>
      </c>
      <c r="BG73" s="32" t="s">
        <v>997</v>
      </c>
      <c r="BH73" s="36" t="s">
        <v>124</v>
      </c>
      <c r="BI73" s="36" t="s">
        <v>125</v>
      </c>
      <c r="BJ73" s="36" t="s">
        <v>126</v>
      </c>
      <c r="BK73" s="36" t="s">
        <v>127</v>
      </c>
      <c r="BL73" s="36" t="s">
        <v>128</v>
      </c>
      <c r="BM73" s="36" t="s">
        <v>129</v>
      </c>
      <c r="BN73" s="36" t="s">
        <v>1057</v>
      </c>
      <c r="BO73" s="36" t="s">
        <v>1058</v>
      </c>
      <c r="BP73" s="37"/>
      <c r="BQ73" s="32" t="s">
        <v>106</v>
      </c>
      <c r="BR73" s="32"/>
      <c r="BS73" s="32" t="s">
        <v>106</v>
      </c>
      <c r="BT73" s="32"/>
      <c r="BU73" s="32"/>
      <c r="BV73" s="32"/>
      <c r="BW73" s="36"/>
      <c r="BX73" s="39"/>
      <c r="BY73" s="39"/>
    </row>
    <row r="74" spans="1:77" s="81" customFormat="1" ht="21.95" customHeight="1">
      <c r="A74" s="60">
        <v>2</v>
      </c>
      <c r="B74" s="77" t="s">
        <v>640</v>
      </c>
      <c r="C74" s="41" t="s">
        <v>953</v>
      </c>
      <c r="D74" s="42" t="s">
        <v>1059</v>
      </c>
      <c r="E74" s="42" t="s">
        <v>1060</v>
      </c>
      <c r="F74" s="43" t="s">
        <v>1061</v>
      </c>
      <c r="G74" s="43" t="s">
        <v>1062</v>
      </c>
      <c r="H74" s="43" t="s">
        <v>98</v>
      </c>
      <c r="I74" s="44" t="s">
        <v>1063</v>
      </c>
      <c r="J74" s="45" t="s">
        <v>100</v>
      </c>
      <c r="K74" s="45" t="s">
        <v>100</v>
      </c>
      <c r="L74" s="45" t="s">
        <v>100</v>
      </c>
      <c r="M74" s="45" t="s">
        <v>100</v>
      </c>
      <c r="N74" s="45" t="s">
        <v>100</v>
      </c>
      <c r="O74" s="46" t="s">
        <v>101</v>
      </c>
      <c r="P74" s="44" t="s">
        <v>1064</v>
      </c>
      <c r="Q74" s="40" t="s">
        <v>1065</v>
      </c>
      <c r="R74" s="44" t="s">
        <v>1066</v>
      </c>
      <c r="S74" s="42" t="s">
        <v>105</v>
      </c>
      <c r="T74" s="47" t="s">
        <v>106</v>
      </c>
      <c r="U74" s="47"/>
      <c r="V74" s="47"/>
      <c r="W74" s="47" t="s">
        <v>106</v>
      </c>
      <c r="X74" s="47"/>
      <c r="Y74" s="47" t="s">
        <v>106</v>
      </c>
      <c r="Z74" s="43" t="s">
        <v>107</v>
      </c>
      <c r="AA74" s="43" t="s">
        <v>108</v>
      </c>
      <c r="AB74" s="47" t="s">
        <v>106</v>
      </c>
      <c r="AC74" s="47" t="s">
        <v>106</v>
      </c>
      <c r="AD74" s="47"/>
      <c r="AE74" s="47"/>
      <c r="AF74" s="47"/>
      <c r="AG74" s="47" t="s">
        <v>106</v>
      </c>
      <c r="AH74" s="43"/>
      <c r="AI74" s="42" t="s">
        <v>1067</v>
      </c>
      <c r="AJ74" s="42" t="s">
        <v>697</v>
      </c>
      <c r="AK74" s="43" t="s">
        <v>111</v>
      </c>
      <c r="AL74" s="43" t="s">
        <v>625</v>
      </c>
      <c r="AM74" s="43" t="s">
        <v>111</v>
      </c>
      <c r="AN74" s="43" t="s">
        <v>115</v>
      </c>
      <c r="AO74" s="43" t="s">
        <v>114</v>
      </c>
      <c r="AP74" s="43" t="s">
        <v>701</v>
      </c>
      <c r="AQ74" s="43" t="s">
        <v>701</v>
      </c>
      <c r="AR74" s="43" t="s">
        <v>115</v>
      </c>
      <c r="AS74" s="43" t="s">
        <v>115</v>
      </c>
      <c r="AT74" s="43" t="s">
        <v>113</v>
      </c>
      <c r="AU74" s="43" t="s">
        <v>114</v>
      </c>
      <c r="AV74" s="48" t="s">
        <v>116</v>
      </c>
      <c r="AW74" s="40" t="s">
        <v>1068</v>
      </c>
      <c r="AX74" s="40" t="s">
        <v>1069</v>
      </c>
      <c r="AY74" s="43"/>
      <c r="AZ74" s="43"/>
      <c r="BA74" s="43" t="s">
        <v>106</v>
      </c>
      <c r="BB74" s="43"/>
      <c r="BC74" s="43" t="s">
        <v>1070</v>
      </c>
      <c r="BD74" s="43" t="s">
        <v>162</v>
      </c>
      <c r="BE74" s="43">
        <v>2</v>
      </c>
      <c r="BF74" s="49" t="s">
        <v>1071</v>
      </c>
      <c r="BG74" s="43" t="s">
        <v>984</v>
      </c>
      <c r="BH74" s="40" t="s">
        <v>124</v>
      </c>
      <c r="BI74" s="40" t="s">
        <v>125</v>
      </c>
      <c r="BJ74" s="40" t="s">
        <v>126</v>
      </c>
      <c r="BK74" s="40" t="s">
        <v>127</v>
      </c>
      <c r="BL74" s="40" t="s">
        <v>128</v>
      </c>
      <c r="BM74" s="40" t="s">
        <v>129</v>
      </c>
      <c r="BN74" s="40" t="s">
        <v>1072</v>
      </c>
      <c r="BO74" s="40" t="s">
        <v>1073</v>
      </c>
      <c r="BP74" s="47"/>
      <c r="BQ74" s="43" t="s">
        <v>106</v>
      </c>
      <c r="BR74" s="43"/>
      <c r="BS74" s="43" t="s">
        <v>106</v>
      </c>
      <c r="BT74" s="43"/>
      <c r="BU74" s="43"/>
      <c r="BV74" s="43"/>
      <c r="BW74" s="40" t="s">
        <v>1074</v>
      </c>
      <c r="BX74" s="49" t="s">
        <v>1075</v>
      </c>
      <c r="BY74" s="49" t="s">
        <v>1076</v>
      </c>
    </row>
    <row r="75" spans="1:77" s="84" customFormat="1" ht="21.95" customHeight="1">
      <c r="A75" s="80">
        <v>2</v>
      </c>
      <c r="B75" s="76" t="s">
        <v>640</v>
      </c>
      <c r="C75" s="30" t="s">
        <v>953</v>
      </c>
      <c r="D75" s="31" t="s">
        <v>1059</v>
      </c>
      <c r="E75" s="31" t="s">
        <v>1060</v>
      </c>
      <c r="F75" s="32" t="s">
        <v>1077</v>
      </c>
      <c r="G75" s="32" t="s">
        <v>1078</v>
      </c>
      <c r="H75" s="32" t="s">
        <v>1502</v>
      </c>
      <c r="I75" s="33" t="s">
        <v>1079</v>
      </c>
      <c r="J75" s="34" t="s">
        <v>738</v>
      </c>
      <c r="K75" s="34" t="s">
        <v>100</v>
      </c>
      <c r="L75" s="34" t="s">
        <v>100</v>
      </c>
      <c r="M75" s="34" t="s">
        <v>100</v>
      </c>
      <c r="N75" s="34" t="s">
        <v>100</v>
      </c>
      <c r="O75" s="35" t="s">
        <v>101</v>
      </c>
      <c r="P75" s="33" t="s">
        <v>1080</v>
      </c>
      <c r="Q75" s="36" t="s">
        <v>1081</v>
      </c>
      <c r="R75" s="33" t="s">
        <v>1082</v>
      </c>
      <c r="S75" s="31" t="s">
        <v>105</v>
      </c>
      <c r="T75" s="37" t="s">
        <v>106</v>
      </c>
      <c r="U75" s="37" t="s">
        <v>106</v>
      </c>
      <c r="V75" s="37"/>
      <c r="W75" s="37"/>
      <c r="X75" s="37" t="s">
        <v>106</v>
      </c>
      <c r="Y75" s="37" t="s">
        <v>106</v>
      </c>
      <c r="Z75" s="32" t="s">
        <v>141</v>
      </c>
      <c r="AA75" s="32" t="s">
        <v>108</v>
      </c>
      <c r="AB75" s="37"/>
      <c r="AC75" s="37" t="s">
        <v>106</v>
      </c>
      <c r="AD75" s="37" t="s">
        <v>106</v>
      </c>
      <c r="AE75" s="37"/>
      <c r="AF75" s="37" t="s">
        <v>106</v>
      </c>
      <c r="AG75" s="37" t="s">
        <v>106</v>
      </c>
      <c r="AH75" s="32" t="s">
        <v>106</v>
      </c>
      <c r="AI75" s="31" t="s">
        <v>1083</v>
      </c>
      <c r="AJ75" s="31" t="s">
        <v>695</v>
      </c>
      <c r="AK75" s="32" t="s">
        <v>111</v>
      </c>
      <c r="AL75" s="32" t="s">
        <v>625</v>
      </c>
      <c r="AM75" s="32" t="s">
        <v>111</v>
      </c>
      <c r="AN75" s="32" t="s">
        <v>114</v>
      </c>
      <c r="AO75" s="32" t="s">
        <v>701</v>
      </c>
      <c r="AP75" s="32" t="s">
        <v>115</v>
      </c>
      <c r="AQ75" s="32" t="s">
        <v>115</v>
      </c>
      <c r="AR75" s="32" t="s">
        <v>115</v>
      </c>
      <c r="AS75" s="32" t="s">
        <v>115</v>
      </c>
      <c r="AT75" s="32" t="s">
        <v>114</v>
      </c>
      <c r="AU75" s="32" t="s">
        <v>115</v>
      </c>
      <c r="AV75" s="38" t="s">
        <v>116</v>
      </c>
      <c r="AW75" s="36" t="s">
        <v>1084</v>
      </c>
      <c r="AX75" s="36" t="s">
        <v>1084</v>
      </c>
      <c r="AY75" s="32" t="s">
        <v>106</v>
      </c>
      <c r="AZ75" s="32"/>
      <c r="BA75" s="32" t="s">
        <v>106</v>
      </c>
      <c r="BB75" s="32"/>
      <c r="BC75" s="32" t="s">
        <v>1085</v>
      </c>
      <c r="BD75" s="32" t="s">
        <v>162</v>
      </c>
      <c r="BE75" s="32">
        <v>2</v>
      </c>
      <c r="BF75" s="39" t="s">
        <v>1086</v>
      </c>
      <c r="BG75" s="32" t="s">
        <v>997</v>
      </c>
      <c r="BH75" s="36" t="s">
        <v>124</v>
      </c>
      <c r="BI75" s="36" t="s">
        <v>125</v>
      </c>
      <c r="BJ75" s="36" t="s">
        <v>126</v>
      </c>
      <c r="BK75" s="36" t="s">
        <v>127</v>
      </c>
      <c r="BL75" s="36" t="s">
        <v>128</v>
      </c>
      <c r="BM75" s="36" t="s">
        <v>129</v>
      </c>
      <c r="BN75" s="36" t="s">
        <v>1087</v>
      </c>
      <c r="BO75" s="36" t="s">
        <v>1088</v>
      </c>
      <c r="BP75" s="37"/>
      <c r="BQ75" s="32" t="s">
        <v>106</v>
      </c>
      <c r="BR75" s="32"/>
      <c r="BS75" s="32" t="s">
        <v>106</v>
      </c>
      <c r="BT75" s="32"/>
      <c r="BU75" s="32"/>
      <c r="BV75" s="32"/>
      <c r="BW75" s="36"/>
      <c r="BX75" s="39"/>
      <c r="BY75" s="39"/>
    </row>
    <row r="76" spans="1:77" s="84" customFormat="1" ht="21.95" customHeight="1">
      <c r="A76" s="80">
        <v>2</v>
      </c>
      <c r="B76" s="76" t="s">
        <v>640</v>
      </c>
      <c r="C76" s="30" t="s">
        <v>953</v>
      </c>
      <c r="D76" s="31" t="s">
        <v>1059</v>
      </c>
      <c r="E76" s="31" t="s">
        <v>1060</v>
      </c>
      <c r="F76" s="32" t="s">
        <v>1077</v>
      </c>
      <c r="G76" s="32" t="s">
        <v>1089</v>
      </c>
      <c r="H76" s="32" t="s">
        <v>546</v>
      </c>
      <c r="I76" s="33" t="s">
        <v>1079</v>
      </c>
      <c r="J76" s="34" t="s">
        <v>100</v>
      </c>
      <c r="K76" s="34" t="s">
        <v>738</v>
      </c>
      <c r="L76" s="34" t="s">
        <v>100</v>
      </c>
      <c r="M76" s="34" t="s">
        <v>100</v>
      </c>
      <c r="N76" s="34" t="s">
        <v>100</v>
      </c>
      <c r="O76" s="35" t="s">
        <v>101</v>
      </c>
      <c r="P76" s="33" t="s">
        <v>1080</v>
      </c>
      <c r="Q76" s="36" t="s">
        <v>1090</v>
      </c>
      <c r="R76" s="33" t="s">
        <v>1091</v>
      </c>
      <c r="S76" s="31" t="s">
        <v>257</v>
      </c>
      <c r="T76" s="37"/>
      <c r="U76" s="37" t="s">
        <v>106</v>
      </c>
      <c r="V76" s="37"/>
      <c r="W76" s="37" t="s">
        <v>106</v>
      </c>
      <c r="X76" s="37"/>
      <c r="Y76" s="37" t="s">
        <v>106</v>
      </c>
      <c r="Z76" s="32" t="s">
        <v>141</v>
      </c>
      <c r="AA76" s="32" t="s">
        <v>108</v>
      </c>
      <c r="AB76" s="37"/>
      <c r="AC76" s="37" t="s">
        <v>106</v>
      </c>
      <c r="AD76" s="37" t="s">
        <v>106</v>
      </c>
      <c r="AE76" s="37"/>
      <c r="AF76" s="37"/>
      <c r="AG76" s="37" t="s">
        <v>106</v>
      </c>
      <c r="AH76" s="32"/>
      <c r="AI76" s="31" t="s">
        <v>1092</v>
      </c>
      <c r="AJ76" s="31" t="s">
        <v>589</v>
      </c>
      <c r="AK76" s="32" t="s">
        <v>111</v>
      </c>
      <c r="AL76" s="32" t="s">
        <v>699</v>
      </c>
      <c r="AM76" s="32" t="s">
        <v>111</v>
      </c>
      <c r="AN76" s="32" t="s">
        <v>115</v>
      </c>
      <c r="AO76" s="32" t="s">
        <v>114</v>
      </c>
      <c r="AP76" s="32" t="s">
        <v>115</v>
      </c>
      <c r="AQ76" s="32" t="s">
        <v>114</v>
      </c>
      <c r="AR76" s="32" t="s">
        <v>115</v>
      </c>
      <c r="AS76" s="32" t="s">
        <v>115</v>
      </c>
      <c r="AT76" s="32" t="s">
        <v>115</v>
      </c>
      <c r="AU76" s="32" t="s">
        <v>114</v>
      </c>
      <c r="AV76" s="38" t="s">
        <v>116</v>
      </c>
      <c r="AW76" s="36" t="s">
        <v>1093</v>
      </c>
      <c r="AX76" s="36" t="s">
        <v>1093</v>
      </c>
      <c r="AY76" s="32"/>
      <c r="AZ76" s="32" t="s">
        <v>106</v>
      </c>
      <c r="BA76" s="32" t="s">
        <v>106</v>
      </c>
      <c r="BB76" s="32"/>
      <c r="BC76" s="32" t="s">
        <v>1094</v>
      </c>
      <c r="BD76" s="32" t="s">
        <v>162</v>
      </c>
      <c r="BE76" s="32">
        <v>2</v>
      </c>
      <c r="BF76" s="39" t="s">
        <v>1095</v>
      </c>
      <c r="BG76" s="32" t="s">
        <v>984</v>
      </c>
      <c r="BH76" s="36" t="s">
        <v>124</v>
      </c>
      <c r="BI76" s="36" t="s">
        <v>125</v>
      </c>
      <c r="BJ76" s="36" t="s">
        <v>126</v>
      </c>
      <c r="BK76" s="36" t="s">
        <v>127</v>
      </c>
      <c r="BL76" s="36" t="s">
        <v>128</v>
      </c>
      <c r="BM76" s="36" t="s">
        <v>129</v>
      </c>
      <c r="BN76" s="36" t="s">
        <v>1096</v>
      </c>
      <c r="BO76" s="36" t="s">
        <v>1088</v>
      </c>
      <c r="BP76" s="37"/>
      <c r="BQ76" s="32" t="s">
        <v>106</v>
      </c>
      <c r="BR76" s="32"/>
      <c r="BS76" s="32" t="s">
        <v>106</v>
      </c>
      <c r="BT76" s="32"/>
      <c r="BU76" s="32"/>
      <c r="BV76" s="32"/>
      <c r="BW76" s="36"/>
      <c r="BX76" s="39"/>
      <c r="BY76" s="39"/>
    </row>
    <row r="77" spans="1:77" s="84" customFormat="1" ht="21.95" customHeight="1">
      <c r="A77" s="80">
        <v>2</v>
      </c>
      <c r="B77" s="76" t="s">
        <v>1097</v>
      </c>
      <c r="C77" s="30" t="s">
        <v>1098</v>
      </c>
      <c r="D77" s="31" t="s">
        <v>1099</v>
      </c>
      <c r="E77" s="31" t="s">
        <v>1100</v>
      </c>
      <c r="F77" s="32" t="s">
        <v>1101</v>
      </c>
      <c r="G77" s="32" t="s">
        <v>1102</v>
      </c>
      <c r="H77" s="32" t="s">
        <v>98</v>
      </c>
      <c r="I77" s="33" t="s">
        <v>1103</v>
      </c>
      <c r="J77" s="34" t="s">
        <v>583</v>
      </c>
      <c r="K77" s="34" t="s">
        <v>583</v>
      </c>
      <c r="L77" s="34" t="s">
        <v>1104</v>
      </c>
      <c r="M77" s="34" t="s">
        <v>689</v>
      </c>
      <c r="N77" s="34" t="s">
        <v>583</v>
      </c>
      <c r="O77" s="35" t="s">
        <v>101</v>
      </c>
      <c r="P77" s="33" t="s">
        <v>1105</v>
      </c>
      <c r="Q77" s="36" t="s">
        <v>1106</v>
      </c>
      <c r="R77" s="33" t="s">
        <v>1107</v>
      </c>
      <c r="S77" s="31" t="s">
        <v>140</v>
      </c>
      <c r="T77" s="37" t="s">
        <v>106</v>
      </c>
      <c r="U77" s="37" t="s">
        <v>106</v>
      </c>
      <c r="V77" s="37"/>
      <c r="W77" s="37"/>
      <c r="X77" s="37" t="s">
        <v>106</v>
      </c>
      <c r="Y77" s="37" t="s">
        <v>106</v>
      </c>
      <c r="Z77" s="32" t="s">
        <v>141</v>
      </c>
      <c r="AA77" s="32" t="s">
        <v>108</v>
      </c>
      <c r="AB77" s="37" t="s">
        <v>106</v>
      </c>
      <c r="AC77" s="37"/>
      <c r="AD77" s="37" t="s">
        <v>106</v>
      </c>
      <c r="AE77" s="37" t="s">
        <v>106</v>
      </c>
      <c r="AF77" s="37"/>
      <c r="AG77" s="37"/>
      <c r="AH77" s="32" t="s">
        <v>106</v>
      </c>
      <c r="AI77" s="31" t="s">
        <v>1108</v>
      </c>
      <c r="AJ77" s="31" t="s">
        <v>646</v>
      </c>
      <c r="AK77" s="32" t="s">
        <v>111</v>
      </c>
      <c r="AL77" s="32" t="s">
        <v>112</v>
      </c>
      <c r="AM77" s="32" t="s">
        <v>111</v>
      </c>
      <c r="AN77" s="32" t="s">
        <v>114</v>
      </c>
      <c r="AO77" s="32" t="s">
        <v>114</v>
      </c>
      <c r="AP77" s="32" t="s">
        <v>114</v>
      </c>
      <c r="AQ77" s="32" t="s">
        <v>114</v>
      </c>
      <c r="AR77" s="32" t="s">
        <v>115</v>
      </c>
      <c r="AS77" s="32" t="s">
        <v>701</v>
      </c>
      <c r="AT77" s="32" t="s">
        <v>114</v>
      </c>
      <c r="AU77" s="32" t="s">
        <v>114</v>
      </c>
      <c r="AV77" s="38" t="s">
        <v>116</v>
      </c>
      <c r="AW77" s="36" t="s">
        <v>1109</v>
      </c>
      <c r="AX77" s="36" t="s">
        <v>1109</v>
      </c>
      <c r="AY77" s="32" t="s">
        <v>106</v>
      </c>
      <c r="AZ77" s="32"/>
      <c r="BA77" s="32" t="s">
        <v>106</v>
      </c>
      <c r="BB77" s="32"/>
      <c r="BC77" s="32" t="s">
        <v>1110</v>
      </c>
      <c r="BD77" s="32" t="s">
        <v>162</v>
      </c>
      <c r="BE77" s="32">
        <v>2</v>
      </c>
      <c r="BF77" s="39" t="s">
        <v>1111</v>
      </c>
      <c r="BG77" s="32" t="s">
        <v>148</v>
      </c>
      <c r="BH77" s="36" t="s">
        <v>124</v>
      </c>
      <c r="BI77" s="36" t="s">
        <v>125</v>
      </c>
      <c r="BJ77" s="36" t="s">
        <v>126</v>
      </c>
      <c r="BK77" s="36" t="s">
        <v>127</v>
      </c>
      <c r="BL77" s="36" t="s">
        <v>128</v>
      </c>
      <c r="BM77" s="36" t="s">
        <v>129</v>
      </c>
      <c r="BN77" s="36" t="s">
        <v>1112</v>
      </c>
      <c r="BO77" s="36" t="s">
        <v>1113</v>
      </c>
      <c r="BP77" s="37"/>
      <c r="BQ77" s="32" t="s">
        <v>106</v>
      </c>
      <c r="BR77" s="32"/>
      <c r="BS77" s="32" t="s">
        <v>106</v>
      </c>
      <c r="BT77" s="32"/>
      <c r="BU77" s="32"/>
      <c r="BV77" s="32"/>
      <c r="BW77" s="36"/>
      <c r="BX77" s="39"/>
      <c r="BY77" s="39"/>
    </row>
    <row r="78" spans="1:77" s="84" customFormat="1" ht="21.95" customHeight="1">
      <c r="A78" s="80">
        <v>2</v>
      </c>
      <c r="B78" s="76" t="s">
        <v>1097</v>
      </c>
      <c r="C78" s="30" t="s">
        <v>1098</v>
      </c>
      <c r="D78" s="31" t="s">
        <v>1099</v>
      </c>
      <c r="E78" s="31" t="s">
        <v>1100</v>
      </c>
      <c r="F78" s="32" t="s">
        <v>1114</v>
      </c>
      <c r="G78" s="32" t="s">
        <v>1115</v>
      </c>
      <c r="H78" s="32" t="s">
        <v>637</v>
      </c>
      <c r="I78" s="33" t="s">
        <v>1116</v>
      </c>
      <c r="J78" s="34" t="s">
        <v>691</v>
      </c>
      <c r="K78" s="34" t="s">
        <v>689</v>
      </c>
      <c r="L78" s="34" t="s">
        <v>1117</v>
      </c>
      <c r="M78" s="34" t="s">
        <v>1117</v>
      </c>
      <c r="N78" s="34" t="s">
        <v>691</v>
      </c>
      <c r="O78" s="35" t="s">
        <v>640</v>
      </c>
      <c r="P78" s="33" t="s">
        <v>1118</v>
      </c>
      <c r="Q78" s="36" t="s">
        <v>1119</v>
      </c>
      <c r="R78" s="33" t="s">
        <v>1120</v>
      </c>
      <c r="S78" s="31" t="s">
        <v>257</v>
      </c>
      <c r="T78" s="37" t="s">
        <v>106</v>
      </c>
      <c r="U78" s="37"/>
      <c r="V78" s="37"/>
      <c r="W78" s="37"/>
      <c r="X78" s="37" t="s">
        <v>106</v>
      </c>
      <c r="Y78" s="37"/>
      <c r="Z78" s="32" t="s">
        <v>863</v>
      </c>
      <c r="AA78" s="32" t="s">
        <v>108</v>
      </c>
      <c r="AB78" s="37" t="s">
        <v>106</v>
      </c>
      <c r="AC78" s="37"/>
      <c r="AD78" s="37" t="s">
        <v>106</v>
      </c>
      <c r="AE78" s="37"/>
      <c r="AF78" s="37" t="s">
        <v>106</v>
      </c>
      <c r="AG78" s="37" t="s">
        <v>106</v>
      </c>
      <c r="AH78" s="32" t="s">
        <v>106</v>
      </c>
      <c r="AI78" s="31" t="s">
        <v>1121</v>
      </c>
      <c r="AJ78" s="31" t="s">
        <v>945</v>
      </c>
      <c r="AK78" s="32" t="s">
        <v>111</v>
      </c>
      <c r="AL78" s="32" t="s">
        <v>699</v>
      </c>
      <c r="AM78" s="32" t="s">
        <v>111</v>
      </c>
      <c r="AN78" s="32" t="s">
        <v>113</v>
      </c>
      <c r="AO78" s="32" t="s">
        <v>115</v>
      </c>
      <c r="AP78" s="32" t="s">
        <v>881</v>
      </c>
      <c r="AQ78" s="32" t="s">
        <v>115</v>
      </c>
      <c r="AR78" s="32" t="s">
        <v>115</v>
      </c>
      <c r="AS78" s="32" t="s">
        <v>115</v>
      </c>
      <c r="AT78" s="32" t="s">
        <v>701</v>
      </c>
      <c r="AU78" s="32" t="s">
        <v>115</v>
      </c>
      <c r="AV78" s="38" t="s">
        <v>116</v>
      </c>
      <c r="AW78" s="36" t="s">
        <v>1122</v>
      </c>
      <c r="AX78" s="36" t="s">
        <v>1123</v>
      </c>
      <c r="AY78" s="32"/>
      <c r="AZ78" s="32"/>
      <c r="BA78" s="32" t="s">
        <v>106</v>
      </c>
      <c r="BB78" s="32"/>
      <c r="BC78" s="32" t="s">
        <v>1124</v>
      </c>
      <c r="BD78" s="32" t="s">
        <v>121</v>
      </c>
      <c r="BE78" s="32">
        <v>2</v>
      </c>
      <c r="BF78" s="39" t="s">
        <v>1125</v>
      </c>
      <c r="BG78" s="32" t="s">
        <v>264</v>
      </c>
      <c r="BH78" s="36" t="s">
        <v>124</v>
      </c>
      <c r="BI78" s="36" t="s">
        <v>125</v>
      </c>
      <c r="BJ78" s="36" t="s">
        <v>126</v>
      </c>
      <c r="BK78" s="36" t="s">
        <v>127</v>
      </c>
      <c r="BL78" s="36" t="s">
        <v>128</v>
      </c>
      <c r="BM78" s="36" t="s">
        <v>129</v>
      </c>
      <c r="BN78" s="36" t="s">
        <v>1126</v>
      </c>
      <c r="BO78" s="36" t="s">
        <v>1127</v>
      </c>
      <c r="BP78" s="37"/>
      <c r="BQ78" s="32" t="s">
        <v>106</v>
      </c>
      <c r="BR78" s="32"/>
      <c r="BS78" s="32" t="s">
        <v>106</v>
      </c>
      <c r="BT78" s="32"/>
      <c r="BU78" s="32"/>
      <c r="BV78" s="32"/>
      <c r="BW78" s="36"/>
      <c r="BX78" s="39"/>
      <c r="BY78" s="39"/>
    </row>
    <row r="79" spans="1:77" s="84" customFormat="1" ht="21.95" customHeight="1">
      <c r="A79" s="80">
        <v>2</v>
      </c>
      <c r="B79" s="76" t="s">
        <v>1097</v>
      </c>
      <c r="C79" s="30" t="s">
        <v>1098</v>
      </c>
      <c r="D79" s="31" t="s">
        <v>1128</v>
      </c>
      <c r="E79" s="31" t="s">
        <v>1129</v>
      </c>
      <c r="F79" s="32" t="s">
        <v>1130</v>
      </c>
      <c r="G79" s="32" t="s">
        <v>1131</v>
      </c>
      <c r="H79" s="32" t="s">
        <v>637</v>
      </c>
      <c r="I79" s="33" t="s">
        <v>1132</v>
      </c>
      <c r="J79" s="34" t="s">
        <v>689</v>
      </c>
      <c r="K79" s="34" t="s">
        <v>691</v>
      </c>
      <c r="L79" s="34" t="s">
        <v>1104</v>
      </c>
      <c r="M79" s="34" t="s">
        <v>691</v>
      </c>
      <c r="N79" s="34" t="s">
        <v>689</v>
      </c>
      <c r="O79" s="35" t="s">
        <v>101</v>
      </c>
      <c r="P79" s="33" t="s">
        <v>1133</v>
      </c>
      <c r="Q79" s="36" t="s">
        <v>1134</v>
      </c>
      <c r="R79" s="33" t="s">
        <v>1135</v>
      </c>
      <c r="S79" s="31" t="s">
        <v>105</v>
      </c>
      <c r="T79" s="37"/>
      <c r="U79" s="37" t="s">
        <v>106</v>
      </c>
      <c r="V79" s="37"/>
      <c r="W79" s="37"/>
      <c r="X79" s="37" t="s">
        <v>106</v>
      </c>
      <c r="Y79" s="37"/>
      <c r="Z79" s="32" t="s">
        <v>803</v>
      </c>
      <c r="AA79" s="32" t="s">
        <v>108</v>
      </c>
      <c r="AB79" s="37"/>
      <c r="AC79" s="37"/>
      <c r="AD79" s="37"/>
      <c r="AE79" s="37"/>
      <c r="AF79" s="37" t="s">
        <v>106</v>
      </c>
      <c r="AG79" s="37"/>
      <c r="AH79" s="32" t="s">
        <v>106</v>
      </c>
      <c r="AI79" s="31" t="s">
        <v>1136</v>
      </c>
      <c r="AJ79" s="31" t="s">
        <v>697</v>
      </c>
      <c r="AK79" s="32" t="s">
        <v>111</v>
      </c>
      <c r="AL79" s="32" t="s">
        <v>699</v>
      </c>
      <c r="AM79" s="32" t="s">
        <v>111</v>
      </c>
      <c r="AN79" s="32" t="s">
        <v>592</v>
      </c>
      <c r="AO79" s="32" t="s">
        <v>114</v>
      </c>
      <c r="AP79" s="32" t="s">
        <v>115</v>
      </c>
      <c r="AQ79" s="32" t="s">
        <v>115</v>
      </c>
      <c r="AR79" s="32" t="s">
        <v>592</v>
      </c>
      <c r="AS79" s="32" t="s">
        <v>881</v>
      </c>
      <c r="AT79" s="32" t="s">
        <v>114</v>
      </c>
      <c r="AU79" s="32" t="s">
        <v>114</v>
      </c>
      <c r="AV79" s="38" t="s">
        <v>116</v>
      </c>
      <c r="AW79" s="36" t="s">
        <v>1137</v>
      </c>
      <c r="AX79" s="36" t="s">
        <v>1138</v>
      </c>
      <c r="AY79" s="32"/>
      <c r="AZ79" s="32"/>
      <c r="BA79" s="32" t="s">
        <v>106</v>
      </c>
      <c r="BB79" s="32"/>
      <c r="BC79" s="32" t="s">
        <v>1139</v>
      </c>
      <c r="BD79" s="32" t="s">
        <v>176</v>
      </c>
      <c r="BE79" s="32">
        <v>2</v>
      </c>
      <c r="BF79" s="39" t="s">
        <v>1140</v>
      </c>
      <c r="BG79" s="32" t="s">
        <v>1141</v>
      </c>
      <c r="BH79" s="36" t="s">
        <v>124</v>
      </c>
      <c r="BI79" s="36" t="s">
        <v>125</v>
      </c>
      <c r="BJ79" s="36" t="s">
        <v>126</v>
      </c>
      <c r="BK79" s="36" t="s">
        <v>127</v>
      </c>
      <c r="BL79" s="36" t="s">
        <v>128</v>
      </c>
      <c r="BM79" s="36" t="s">
        <v>129</v>
      </c>
      <c r="BN79" s="36" t="s">
        <v>1142</v>
      </c>
      <c r="BO79" s="36" t="s">
        <v>1143</v>
      </c>
      <c r="BP79" s="37"/>
      <c r="BQ79" s="32" t="s">
        <v>106</v>
      </c>
      <c r="BR79" s="32"/>
      <c r="BS79" s="32" t="s">
        <v>106</v>
      </c>
      <c r="BT79" s="32"/>
      <c r="BU79" s="32"/>
      <c r="BV79" s="32"/>
      <c r="BW79" s="36" t="s">
        <v>1144</v>
      </c>
      <c r="BX79" s="39" t="s">
        <v>1145</v>
      </c>
      <c r="BY79" s="39" t="s">
        <v>1146</v>
      </c>
    </row>
    <row r="80" spans="1:77" s="84" customFormat="1" ht="21.95" customHeight="1">
      <c r="A80" s="80">
        <v>1</v>
      </c>
      <c r="B80" s="76" t="s">
        <v>1097</v>
      </c>
      <c r="C80" s="30" t="s">
        <v>1098</v>
      </c>
      <c r="D80" s="31" t="s">
        <v>1147</v>
      </c>
      <c r="E80" s="31" t="s">
        <v>1148</v>
      </c>
      <c r="F80" s="32" t="s">
        <v>1149</v>
      </c>
      <c r="G80" s="32" t="s">
        <v>1150</v>
      </c>
      <c r="H80" s="32" t="s">
        <v>637</v>
      </c>
      <c r="I80" s="33" t="s">
        <v>1151</v>
      </c>
      <c r="J80" s="34" t="s">
        <v>689</v>
      </c>
      <c r="K80" s="34" t="s">
        <v>689</v>
      </c>
      <c r="L80" s="34" t="s">
        <v>1117</v>
      </c>
      <c r="M80" s="34" t="s">
        <v>689</v>
      </c>
      <c r="N80" s="34" t="s">
        <v>689</v>
      </c>
      <c r="O80" s="35" t="s">
        <v>101</v>
      </c>
      <c r="P80" s="33" t="s">
        <v>1152</v>
      </c>
      <c r="Q80" s="36" t="s">
        <v>1153</v>
      </c>
      <c r="R80" s="33" t="s">
        <v>1154</v>
      </c>
      <c r="S80" s="31" t="s">
        <v>257</v>
      </c>
      <c r="T80" s="37" t="s">
        <v>106</v>
      </c>
      <c r="U80" s="37" t="s">
        <v>106</v>
      </c>
      <c r="V80" s="37"/>
      <c r="W80" s="37" t="s">
        <v>106</v>
      </c>
      <c r="X80" s="37" t="s">
        <v>106</v>
      </c>
      <c r="Y80" s="37"/>
      <c r="Z80" s="32" t="s">
        <v>107</v>
      </c>
      <c r="AA80" s="32" t="s">
        <v>108</v>
      </c>
      <c r="AB80" s="37" t="s">
        <v>106</v>
      </c>
      <c r="AC80" s="37" t="s">
        <v>106</v>
      </c>
      <c r="AD80" s="37" t="s">
        <v>106</v>
      </c>
      <c r="AE80" s="37"/>
      <c r="AF80" s="37"/>
      <c r="AG80" s="37" t="s">
        <v>106</v>
      </c>
      <c r="AH80" s="32"/>
      <c r="AI80" s="31" t="s">
        <v>1155</v>
      </c>
      <c r="AJ80" s="31" t="s">
        <v>278</v>
      </c>
      <c r="AK80" s="32" t="s">
        <v>111</v>
      </c>
      <c r="AL80" s="32" t="s">
        <v>699</v>
      </c>
      <c r="AM80" s="32" t="s">
        <v>111</v>
      </c>
      <c r="AN80" s="32" t="s">
        <v>115</v>
      </c>
      <c r="AO80" s="32" t="s">
        <v>115</v>
      </c>
      <c r="AP80" s="32" t="s">
        <v>115</v>
      </c>
      <c r="AQ80" s="32" t="s">
        <v>115</v>
      </c>
      <c r="AR80" s="32" t="s">
        <v>113</v>
      </c>
      <c r="AS80" s="32" t="s">
        <v>701</v>
      </c>
      <c r="AT80" s="32" t="s">
        <v>114</v>
      </c>
      <c r="AU80" s="32" t="s">
        <v>114</v>
      </c>
      <c r="AV80" s="38" t="s">
        <v>116</v>
      </c>
      <c r="AW80" s="36" t="s">
        <v>1156</v>
      </c>
      <c r="AX80" s="36" t="s">
        <v>1157</v>
      </c>
      <c r="AY80" s="32"/>
      <c r="AZ80" s="32"/>
      <c r="BA80" s="32" t="s">
        <v>106</v>
      </c>
      <c r="BB80" s="32"/>
      <c r="BC80" s="32" t="s">
        <v>1158</v>
      </c>
      <c r="BD80" s="32" t="s">
        <v>121</v>
      </c>
      <c r="BE80" s="32">
        <v>1</v>
      </c>
      <c r="BF80" s="39" t="s">
        <v>1159</v>
      </c>
      <c r="BG80" s="32" t="s">
        <v>264</v>
      </c>
      <c r="BH80" s="36" t="s">
        <v>124</v>
      </c>
      <c r="BI80" s="36" t="s">
        <v>125</v>
      </c>
      <c r="BJ80" s="36" t="s">
        <v>126</v>
      </c>
      <c r="BK80" s="36" t="s">
        <v>127</v>
      </c>
      <c r="BL80" s="36" t="s">
        <v>128</v>
      </c>
      <c r="BM80" s="36" t="s">
        <v>129</v>
      </c>
      <c r="BN80" s="36" t="s">
        <v>1160</v>
      </c>
      <c r="BO80" s="36" t="s">
        <v>1161</v>
      </c>
      <c r="BP80" s="37"/>
      <c r="BQ80" s="32" t="s">
        <v>106</v>
      </c>
      <c r="BR80" s="32"/>
      <c r="BS80" s="32" t="s">
        <v>106</v>
      </c>
      <c r="BT80" s="32"/>
      <c r="BU80" s="32"/>
      <c r="BV80" s="32"/>
      <c r="BW80" s="36"/>
      <c r="BX80" s="39"/>
      <c r="BY80" s="39"/>
    </row>
    <row r="81" spans="1:77" s="84" customFormat="1" ht="21.95" customHeight="1">
      <c r="A81" s="80">
        <v>1</v>
      </c>
      <c r="B81" s="76" t="s">
        <v>1097</v>
      </c>
      <c r="C81" s="30" t="s">
        <v>1098</v>
      </c>
      <c r="D81" s="31" t="s">
        <v>1162</v>
      </c>
      <c r="E81" s="31" t="s">
        <v>1163</v>
      </c>
      <c r="F81" s="32" t="s">
        <v>1164</v>
      </c>
      <c r="G81" s="32" t="s">
        <v>1165</v>
      </c>
      <c r="H81" s="32" t="s">
        <v>637</v>
      </c>
      <c r="I81" s="33" t="s">
        <v>1166</v>
      </c>
      <c r="J81" s="34" t="s">
        <v>1104</v>
      </c>
      <c r="K81" s="34" t="s">
        <v>689</v>
      </c>
      <c r="L81" s="34" t="s">
        <v>689</v>
      </c>
      <c r="M81" s="34" t="s">
        <v>689</v>
      </c>
      <c r="N81" s="34" t="s">
        <v>689</v>
      </c>
      <c r="O81" s="35" t="s">
        <v>101</v>
      </c>
      <c r="P81" s="33" t="s">
        <v>1167</v>
      </c>
      <c r="Q81" s="36" t="s">
        <v>1168</v>
      </c>
      <c r="R81" s="33" t="s">
        <v>1169</v>
      </c>
      <c r="S81" s="31" t="s">
        <v>140</v>
      </c>
      <c r="T81" s="37" t="s">
        <v>106</v>
      </c>
      <c r="U81" s="37" t="s">
        <v>106</v>
      </c>
      <c r="V81" s="37"/>
      <c r="W81" s="37"/>
      <c r="X81" s="37" t="s">
        <v>106</v>
      </c>
      <c r="Y81" s="37"/>
      <c r="Z81" s="32" t="s">
        <v>107</v>
      </c>
      <c r="AA81" s="32" t="s">
        <v>108</v>
      </c>
      <c r="AB81" s="37"/>
      <c r="AC81" s="37"/>
      <c r="AD81" s="37"/>
      <c r="AE81" s="37"/>
      <c r="AF81" s="37" t="s">
        <v>106</v>
      </c>
      <c r="AG81" s="37"/>
      <c r="AH81" s="32"/>
      <c r="AI81" s="31" t="s">
        <v>1108</v>
      </c>
      <c r="AJ81" s="31" t="s">
        <v>142</v>
      </c>
      <c r="AK81" s="32" t="s">
        <v>111</v>
      </c>
      <c r="AL81" s="32" t="s">
        <v>625</v>
      </c>
      <c r="AM81" s="32" t="s">
        <v>111</v>
      </c>
      <c r="AN81" s="32" t="s">
        <v>114</v>
      </c>
      <c r="AO81" s="32" t="s">
        <v>115</v>
      </c>
      <c r="AP81" s="32" t="s">
        <v>744</v>
      </c>
      <c r="AQ81" s="32" t="s">
        <v>114</v>
      </c>
      <c r="AR81" s="32" t="s">
        <v>115</v>
      </c>
      <c r="AS81" s="32" t="s">
        <v>114</v>
      </c>
      <c r="AT81" s="32" t="s">
        <v>115</v>
      </c>
      <c r="AU81" s="32" t="s">
        <v>115</v>
      </c>
      <c r="AV81" s="38" t="s">
        <v>116</v>
      </c>
      <c r="AW81" s="36" t="s">
        <v>1170</v>
      </c>
      <c r="AX81" s="36" t="s">
        <v>1171</v>
      </c>
      <c r="AY81" s="32"/>
      <c r="AZ81" s="32"/>
      <c r="BA81" s="32" t="s">
        <v>106</v>
      </c>
      <c r="BB81" s="32"/>
      <c r="BC81" s="32" t="s">
        <v>1172</v>
      </c>
      <c r="BD81" s="32" t="s">
        <v>1173</v>
      </c>
      <c r="BE81" s="32">
        <v>1</v>
      </c>
      <c r="BF81" s="39" t="s">
        <v>1174</v>
      </c>
      <c r="BG81" s="32" t="s">
        <v>1175</v>
      </c>
      <c r="BH81" s="36" t="s">
        <v>124</v>
      </c>
      <c r="BI81" s="36" t="s">
        <v>125</v>
      </c>
      <c r="BJ81" s="36" t="s">
        <v>126</v>
      </c>
      <c r="BK81" s="36" t="s">
        <v>127</v>
      </c>
      <c r="BL81" s="36" t="s">
        <v>128</v>
      </c>
      <c r="BM81" s="36" t="s">
        <v>129</v>
      </c>
      <c r="BN81" s="36" t="s">
        <v>1176</v>
      </c>
      <c r="BO81" s="36" t="s">
        <v>1177</v>
      </c>
      <c r="BP81" s="37"/>
      <c r="BQ81" s="32" t="s">
        <v>106</v>
      </c>
      <c r="BR81" s="32"/>
      <c r="BS81" s="32" t="s">
        <v>106</v>
      </c>
      <c r="BT81" s="32"/>
      <c r="BU81" s="32"/>
      <c r="BV81" s="32"/>
      <c r="BW81" s="36"/>
      <c r="BX81" s="39"/>
      <c r="BY81" s="39"/>
    </row>
    <row r="82" spans="1:77" s="84" customFormat="1" ht="21.95" customHeight="1">
      <c r="A82" s="80">
        <v>1</v>
      </c>
      <c r="B82" s="76" t="s">
        <v>1097</v>
      </c>
      <c r="C82" s="30" t="s">
        <v>1098</v>
      </c>
      <c r="D82" s="31" t="s">
        <v>1162</v>
      </c>
      <c r="E82" s="31" t="s">
        <v>1163</v>
      </c>
      <c r="F82" s="32" t="s">
        <v>1178</v>
      </c>
      <c r="G82" s="32" t="s">
        <v>1179</v>
      </c>
      <c r="H82" s="32" t="s">
        <v>98</v>
      </c>
      <c r="I82" s="33" t="s">
        <v>1180</v>
      </c>
      <c r="J82" s="34" t="s">
        <v>689</v>
      </c>
      <c r="K82" s="34" t="s">
        <v>1181</v>
      </c>
      <c r="L82" s="34" t="s">
        <v>691</v>
      </c>
      <c r="M82" s="34" t="s">
        <v>691</v>
      </c>
      <c r="N82" s="34" t="s">
        <v>689</v>
      </c>
      <c r="O82" s="35" t="s">
        <v>101</v>
      </c>
      <c r="P82" s="33" t="s">
        <v>1182</v>
      </c>
      <c r="Q82" s="36" t="s">
        <v>1183</v>
      </c>
      <c r="R82" s="33" t="s">
        <v>1184</v>
      </c>
      <c r="S82" s="31" t="s">
        <v>257</v>
      </c>
      <c r="T82" s="37"/>
      <c r="U82" s="37" t="s">
        <v>106</v>
      </c>
      <c r="V82" s="37"/>
      <c r="W82" s="37" t="s">
        <v>106</v>
      </c>
      <c r="X82" s="37" t="s">
        <v>106</v>
      </c>
      <c r="Y82" s="37"/>
      <c r="Z82" s="32" t="s">
        <v>863</v>
      </c>
      <c r="AA82" s="32" t="s">
        <v>108</v>
      </c>
      <c r="AB82" s="37" t="s">
        <v>106</v>
      </c>
      <c r="AC82" s="37" t="s">
        <v>106</v>
      </c>
      <c r="AD82" s="37"/>
      <c r="AE82" s="37" t="s">
        <v>106</v>
      </c>
      <c r="AF82" s="37"/>
      <c r="AG82" s="37"/>
      <c r="AH82" s="32"/>
      <c r="AI82" s="31" t="s">
        <v>1136</v>
      </c>
      <c r="AJ82" s="31" t="s">
        <v>278</v>
      </c>
      <c r="AK82" s="32" t="s">
        <v>111</v>
      </c>
      <c r="AL82" s="32" t="s">
        <v>699</v>
      </c>
      <c r="AM82" s="32" t="s">
        <v>111</v>
      </c>
      <c r="AN82" s="32" t="s">
        <v>115</v>
      </c>
      <c r="AO82" s="32" t="s">
        <v>701</v>
      </c>
      <c r="AP82" s="32" t="s">
        <v>701</v>
      </c>
      <c r="AQ82" s="32" t="s">
        <v>115</v>
      </c>
      <c r="AR82" s="32" t="s">
        <v>115</v>
      </c>
      <c r="AS82" s="32" t="s">
        <v>881</v>
      </c>
      <c r="AT82" s="32" t="s">
        <v>115</v>
      </c>
      <c r="AU82" s="32" t="s">
        <v>115</v>
      </c>
      <c r="AV82" s="38" t="s">
        <v>116</v>
      </c>
      <c r="AW82" s="36" t="s">
        <v>1185</v>
      </c>
      <c r="AX82" s="36" t="s">
        <v>1185</v>
      </c>
      <c r="AY82" s="32"/>
      <c r="AZ82" s="32"/>
      <c r="BA82" s="32" t="s">
        <v>106</v>
      </c>
      <c r="BB82" s="32"/>
      <c r="BC82" s="32" t="s">
        <v>1186</v>
      </c>
      <c r="BD82" s="32" t="s">
        <v>121</v>
      </c>
      <c r="BE82" s="32">
        <v>1</v>
      </c>
      <c r="BF82" s="39" t="s">
        <v>1187</v>
      </c>
      <c r="BG82" s="32" t="s">
        <v>1188</v>
      </c>
      <c r="BH82" s="36" t="s">
        <v>124</v>
      </c>
      <c r="BI82" s="36" t="s">
        <v>125</v>
      </c>
      <c r="BJ82" s="36" t="s">
        <v>126</v>
      </c>
      <c r="BK82" s="36" t="s">
        <v>127</v>
      </c>
      <c r="BL82" s="36" t="s">
        <v>128</v>
      </c>
      <c r="BM82" s="36" t="s">
        <v>129</v>
      </c>
      <c r="BN82" s="36" t="s">
        <v>1189</v>
      </c>
      <c r="BO82" s="36" t="s">
        <v>1190</v>
      </c>
      <c r="BP82" s="37"/>
      <c r="BQ82" s="32" t="s">
        <v>106</v>
      </c>
      <c r="BR82" s="32"/>
      <c r="BS82" s="32" t="s">
        <v>106</v>
      </c>
      <c r="BT82" s="32"/>
      <c r="BU82" s="32"/>
      <c r="BV82" s="32"/>
      <c r="BW82" s="36"/>
      <c r="BX82" s="39"/>
      <c r="BY82" s="39"/>
    </row>
    <row r="83" spans="1:77" s="84" customFormat="1" ht="21.95" customHeight="1">
      <c r="A83" s="80">
        <v>2</v>
      </c>
      <c r="B83" s="76" t="s">
        <v>1097</v>
      </c>
      <c r="C83" s="30" t="s">
        <v>1098</v>
      </c>
      <c r="D83" s="31" t="s">
        <v>1191</v>
      </c>
      <c r="E83" s="31" t="s">
        <v>1192</v>
      </c>
      <c r="F83" s="32" t="s">
        <v>1193</v>
      </c>
      <c r="G83" s="32" t="s">
        <v>1194</v>
      </c>
      <c r="H83" s="32" t="s">
        <v>1195</v>
      </c>
      <c r="I83" s="33" t="s">
        <v>1196</v>
      </c>
      <c r="J83" s="34" t="s">
        <v>1197</v>
      </c>
      <c r="K83" s="34" t="s">
        <v>689</v>
      </c>
      <c r="L83" s="34" t="s">
        <v>689</v>
      </c>
      <c r="M83" s="34" t="s">
        <v>689</v>
      </c>
      <c r="N83" s="34" t="s">
        <v>689</v>
      </c>
      <c r="O83" s="35" t="s">
        <v>101</v>
      </c>
      <c r="P83" s="33" t="s">
        <v>1198</v>
      </c>
      <c r="Q83" s="36" t="s">
        <v>1199</v>
      </c>
      <c r="R83" s="33" t="s">
        <v>1200</v>
      </c>
      <c r="S83" s="31" t="s">
        <v>105</v>
      </c>
      <c r="T83" s="37" t="s">
        <v>106</v>
      </c>
      <c r="U83" s="37" t="s">
        <v>106</v>
      </c>
      <c r="V83" s="37"/>
      <c r="W83" s="37"/>
      <c r="X83" s="37" t="s">
        <v>106</v>
      </c>
      <c r="Y83" s="37"/>
      <c r="Z83" s="32" t="s">
        <v>107</v>
      </c>
      <c r="AA83" s="32" t="s">
        <v>108</v>
      </c>
      <c r="AB83" s="37" t="s">
        <v>106</v>
      </c>
      <c r="AC83" s="37" t="s">
        <v>106</v>
      </c>
      <c r="AD83" s="37"/>
      <c r="AE83" s="37" t="s">
        <v>106</v>
      </c>
      <c r="AF83" s="37" t="s">
        <v>106</v>
      </c>
      <c r="AG83" s="37"/>
      <c r="AH83" s="32" t="s">
        <v>106</v>
      </c>
      <c r="AI83" s="31" t="s">
        <v>1201</v>
      </c>
      <c r="AJ83" s="31" t="s">
        <v>945</v>
      </c>
      <c r="AK83" s="32" t="s">
        <v>1202</v>
      </c>
      <c r="AL83" s="32" t="s">
        <v>625</v>
      </c>
      <c r="AM83" s="32" t="s">
        <v>1203</v>
      </c>
      <c r="AN83" s="32" t="s">
        <v>115</v>
      </c>
      <c r="AO83" s="32" t="s">
        <v>701</v>
      </c>
      <c r="AP83" s="32" t="s">
        <v>701</v>
      </c>
      <c r="AQ83" s="32" t="s">
        <v>114</v>
      </c>
      <c r="AR83" s="32" t="s">
        <v>114</v>
      </c>
      <c r="AS83" s="32" t="s">
        <v>592</v>
      </c>
      <c r="AT83" s="32" t="s">
        <v>114</v>
      </c>
      <c r="AU83" s="32" t="s">
        <v>115</v>
      </c>
      <c r="AV83" s="38" t="s">
        <v>116</v>
      </c>
      <c r="AW83" s="36" t="s">
        <v>1204</v>
      </c>
      <c r="AX83" s="36" t="s">
        <v>1205</v>
      </c>
      <c r="AY83" s="32"/>
      <c r="AZ83" s="32"/>
      <c r="BA83" s="32" t="s">
        <v>106</v>
      </c>
      <c r="BB83" s="32"/>
      <c r="BC83" s="32" t="s">
        <v>1206</v>
      </c>
      <c r="BD83" s="32" t="s">
        <v>162</v>
      </c>
      <c r="BE83" s="32">
        <v>2</v>
      </c>
      <c r="BF83" s="39" t="s">
        <v>1207</v>
      </c>
      <c r="BG83" s="32" t="s">
        <v>148</v>
      </c>
      <c r="BH83" s="36" t="s">
        <v>124</v>
      </c>
      <c r="BI83" s="36" t="s">
        <v>125</v>
      </c>
      <c r="BJ83" s="36" t="s">
        <v>126</v>
      </c>
      <c r="BK83" s="36" t="s">
        <v>127</v>
      </c>
      <c r="BL83" s="36" t="s">
        <v>128</v>
      </c>
      <c r="BM83" s="36" t="s">
        <v>129</v>
      </c>
      <c r="BN83" s="36" t="s">
        <v>1208</v>
      </c>
      <c r="BO83" s="36" t="s">
        <v>1209</v>
      </c>
      <c r="BP83" s="37"/>
      <c r="BQ83" s="32" t="s">
        <v>106</v>
      </c>
      <c r="BR83" s="32"/>
      <c r="BS83" s="32" t="s">
        <v>106</v>
      </c>
      <c r="BT83" s="32"/>
      <c r="BU83" s="32"/>
      <c r="BV83" s="32"/>
      <c r="BW83" s="36" t="s">
        <v>1210</v>
      </c>
      <c r="BX83" s="39" t="s">
        <v>1211</v>
      </c>
      <c r="BY83" s="39" t="s">
        <v>1212</v>
      </c>
    </row>
    <row r="84" spans="1:77" s="84" customFormat="1" ht="21.95" customHeight="1">
      <c r="A84" s="80">
        <v>10</v>
      </c>
      <c r="B84" s="76" t="s">
        <v>1213</v>
      </c>
      <c r="C84" s="30" t="s">
        <v>1214</v>
      </c>
      <c r="D84" s="31" t="s">
        <v>1215</v>
      </c>
      <c r="E84" s="31" t="s">
        <v>1216</v>
      </c>
      <c r="F84" s="32" t="s">
        <v>1217</v>
      </c>
      <c r="G84" s="32" t="s">
        <v>1218</v>
      </c>
      <c r="H84" s="32" t="s">
        <v>787</v>
      </c>
      <c r="I84" s="33" t="s">
        <v>1219</v>
      </c>
      <c r="J84" s="34" t="s">
        <v>100</v>
      </c>
      <c r="K84" s="34" t="s">
        <v>100</v>
      </c>
      <c r="L84" s="34" t="s">
        <v>100</v>
      </c>
      <c r="M84" s="34" t="s">
        <v>100</v>
      </c>
      <c r="N84" s="34" t="s">
        <v>100</v>
      </c>
      <c r="O84" s="35" t="s">
        <v>101</v>
      </c>
      <c r="P84" s="33" t="s">
        <v>1220</v>
      </c>
      <c r="Q84" s="36" t="s">
        <v>1221</v>
      </c>
      <c r="R84" s="33" t="s">
        <v>1222</v>
      </c>
      <c r="S84" s="31" t="s">
        <v>257</v>
      </c>
      <c r="T84" s="37" t="s">
        <v>106</v>
      </c>
      <c r="U84" s="37"/>
      <c r="V84" s="37"/>
      <c r="W84" s="37"/>
      <c r="X84" s="37"/>
      <c r="Y84" s="37"/>
      <c r="Z84" s="32" t="s">
        <v>107</v>
      </c>
      <c r="AA84" s="32" t="s">
        <v>108</v>
      </c>
      <c r="AB84" s="37"/>
      <c r="AC84" s="37"/>
      <c r="AD84" s="37"/>
      <c r="AE84" s="37"/>
      <c r="AF84" s="37" t="s">
        <v>106</v>
      </c>
      <c r="AG84" s="37" t="s">
        <v>106</v>
      </c>
      <c r="AH84" s="32" t="s">
        <v>106</v>
      </c>
      <c r="AI84" s="31" t="s">
        <v>1223</v>
      </c>
      <c r="AJ84" s="31" t="s">
        <v>644</v>
      </c>
      <c r="AK84" s="32" t="s">
        <v>111</v>
      </c>
      <c r="AL84" s="32" t="s">
        <v>260</v>
      </c>
      <c r="AM84" s="32" t="s">
        <v>111</v>
      </c>
      <c r="AN84" s="32" t="s">
        <v>115</v>
      </c>
      <c r="AO84" s="32" t="s">
        <v>113</v>
      </c>
      <c r="AP84" s="32" t="s">
        <v>115</v>
      </c>
      <c r="AQ84" s="32" t="s">
        <v>115</v>
      </c>
      <c r="AR84" s="32" t="s">
        <v>115</v>
      </c>
      <c r="AS84" s="32" t="s">
        <v>115</v>
      </c>
      <c r="AT84" s="32" t="s">
        <v>115</v>
      </c>
      <c r="AU84" s="32" t="s">
        <v>115</v>
      </c>
      <c r="AV84" s="38" t="s">
        <v>116</v>
      </c>
      <c r="AW84" s="36" t="s">
        <v>1224</v>
      </c>
      <c r="AX84" s="36" t="s">
        <v>1225</v>
      </c>
      <c r="AY84" s="32"/>
      <c r="AZ84" s="32"/>
      <c r="BA84" s="32" t="s">
        <v>261</v>
      </c>
      <c r="BB84" s="32"/>
      <c r="BC84" s="32" t="s">
        <v>1226</v>
      </c>
      <c r="BD84" s="32" t="s">
        <v>162</v>
      </c>
      <c r="BE84" s="32">
        <v>10</v>
      </c>
      <c r="BF84" s="39" t="s">
        <v>1227</v>
      </c>
      <c r="BG84" s="32" t="s">
        <v>1228</v>
      </c>
      <c r="BH84" s="36" t="s">
        <v>124</v>
      </c>
      <c r="BI84" s="36" t="s">
        <v>125</v>
      </c>
      <c r="BJ84" s="36" t="s">
        <v>126</v>
      </c>
      <c r="BK84" s="36" t="s">
        <v>127</v>
      </c>
      <c r="BL84" s="36" t="s">
        <v>128</v>
      </c>
      <c r="BM84" s="36" t="s">
        <v>129</v>
      </c>
      <c r="BN84" s="36" t="s">
        <v>1229</v>
      </c>
      <c r="BO84" s="36" t="s">
        <v>1230</v>
      </c>
      <c r="BP84" s="37"/>
      <c r="BQ84" s="32" t="s">
        <v>106</v>
      </c>
      <c r="BR84" s="32"/>
      <c r="BS84" s="32" t="s">
        <v>106</v>
      </c>
      <c r="BT84" s="32"/>
      <c r="BU84" s="32"/>
      <c r="BV84" s="32"/>
      <c r="BW84" s="36" t="s">
        <v>1231</v>
      </c>
      <c r="BX84" s="39" t="s">
        <v>1232</v>
      </c>
      <c r="BY84" s="39" t="s">
        <v>1233</v>
      </c>
    </row>
    <row r="85" spans="1:77" s="84" customFormat="1" ht="21.95" customHeight="1">
      <c r="A85" s="80">
        <v>2</v>
      </c>
      <c r="B85" s="76" t="s">
        <v>1213</v>
      </c>
      <c r="C85" s="30" t="s">
        <v>1214</v>
      </c>
      <c r="D85" s="31" t="s">
        <v>1234</v>
      </c>
      <c r="E85" s="31" t="s">
        <v>1216</v>
      </c>
      <c r="F85" s="32" t="s">
        <v>1235</v>
      </c>
      <c r="G85" s="32" t="s">
        <v>1236</v>
      </c>
      <c r="H85" s="32" t="s">
        <v>787</v>
      </c>
      <c r="I85" s="33" t="s">
        <v>1237</v>
      </c>
      <c r="J85" s="34" t="s">
        <v>100</v>
      </c>
      <c r="K85" s="34" t="s">
        <v>100</v>
      </c>
      <c r="L85" s="34" t="s">
        <v>100</v>
      </c>
      <c r="M85" s="34" t="s">
        <v>100</v>
      </c>
      <c r="N85" s="34" t="s">
        <v>100</v>
      </c>
      <c r="O85" s="35" t="s">
        <v>101</v>
      </c>
      <c r="P85" s="33" t="s">
        <v>1238</v>
      </c>
      <c r="Q85" s="36" t="s">
        <v>1239</v>
      </c>
      <c r="R85" s="33" t="s">
        <v>1240</v>
      </c>
      <c r="S85" s="31" t="s">
        <v>140</v>
      </c>
      <c r="T85" s="37" t="s">
        <v>106</v>
      </c>
      <c r="U85" s="37"/>
      <c r="V85" s="37"/>
      <c r="W85" s="37"/>
      <c r="X85" s="37" t="s">
        <v>106</v>
      </c>
      <c r="Y85" s="37"/>
      <c r="Z85" s="32" t="s">
        <v>141</v>
      </c>
      <c r="AA85" s="32" t="s">
        <v>108</v>
      </c>
      <c r="AB85" s="37"/>
      <c r="AC85" s="37"/>
      <c r="AD85" s="37"/>
      <c r="AE85" s="37"/>
      <c r="AF85" s="37"/>
      <c r="AG85" s="37" t="s">
        <v>106</v>
      </c>
      <c r="AH85" s="32"/>
      <c r="AI85" s="31" t="s">
        <v>1241</v>
      </c>
      <c r="AJ85" s="31" t="s">
        <v>1242</v>
      </c>
      <c r="AK85" s="32" t="s">
        <v>111</v>
      </c>
      <c r="AL85" s="32" t="s">
        <v>260</v>
      </c>
      <c r="AM85" s="32" t="s">
        <v>111</v>
      </c>
      <c r="AN85" s="32" t="s">
        <v>115</v>
      </c>
      <c r="AO85" s="32" t="s">
        <v>115</v>
      </c>
      <c r="AP85" s="32" t="s">
        <v>114</v>
      </c>
      <c r="AQ85" s="32" t="s">
        <v>115</v>
      </c>
      <c r="AR85" s="32" t="s">
        <v>114</v>
      </c>
      <c r="AS85" s="32" t="s">
        <v>114</v>
      </c>
      <c r="AT85" s="32" t="s">
        <v>115</v>
      </c>
      <c r="AU85" s="32" t="s">
        <v>114</v>
      </c>
      <c r="AV85" s="38" t="s">
        <v>116</v>
      </c>
      <c r="AW85" s="36" t="s">
        <v>1243</v>
      </c>
      <c r="AX85" s="36" t="s">
        <v>260</v>
      </c>
      <c r="AY85" s="32"/>
      <c r="AZ85" s="32"/>
      <c r="BA85" s="32" t="s">
        <v>145</v>
      </c>
      <c r="BB85" s="32"/>
      <c r="BC85" s="32" t="s">
        <v>1244</v>
      </c>
      <c r="BD85" s="32" t="s">
        <v>162</v>
      </c>
      <c r="BE85" s="32">
        <v>2</v>
      </c>
      <c r="BF85" s="39" t="s">
        <v>1245</v>
      </c>
      <c r="BG85" s="32" t="s">
        <v>264</v>
      </c>
      <c r="BH85" s="36" t="s">
        <v>124</v>
      </c>
      <c r="BI85" s="36" t="s">
        <v>125</v>
      </c>
      <c r="BJ85" s="36" t="s">
        <v>126</v>
      </c>
      <c r="BK85" s="36" t="s">
        <v>127</v>
      </c>
      <c r="BL85" s="36" t="s">
        <v>128</v>
      </c>
      <c r="BM85" s="36" t="s">
        <v>129</v>
      </c>
      <c r="BN85" s="36" t="s">
        <v>1246</v>
      </c>
      <c r="BO85" s="36" t="s">
        <v>1247</v>
      </c>
      <c r="BP85" s="37"/>
      <c r="BQ85" s="32" t="s">
        <v>106</v>
      </c>
      <c r="BR85" s="32"/>
      <c r="BS85" s="32" t="s">
        <v>106</v>
      </c>
      <c r="BT85" s="32"/>
      <c r="BU85" s="32"/>
      <c r="BV85" s="32"/>
      <c r="BW85" s="36" t="s">
        <v>1248</v>
      </c>
      <c r="BX85" s="39" t="s">
        <v>1249</v>
      </c>
      <c r="BY85" s="39" t="s">
        <v>1250</v>
      </c>
    </row>
    <row r="86" spans="1:77" s="84" customFormat="1" ht="21.95" customHeight="1">
      <c r="A86" s="60">
        <v>1</v>
      </c>
      <c r="B86" s="77" t="s">
        <v>1213</v>
      </c>
      <c r="C86" s="41" t="s">
        <v>1214</v>
      </c>
      <c r="D86" s="42" t="s">
        <v>1215</v>
      </c>
      <c r="E86" s="42" t="s">
        <v>1216</v>
      </c>
      <c r="F86" s="43" t="s">
        <v>1251</v>
      </c>
      <c r="G86" s="43" t="s">
        <v>1252</v>
      </c>
      <c r="H86" s="43" t="s">
        <v>581</v>
      </c>
      <c r="I86" s="44" t="s">
        <v>1253</v>
      </c>
      <c r="J86" s="45" t="s">
        <v>100</v>
      </c>
      <c r="K86" s="45" t="s">
        <v>100</v>
      </c>
      <c r="L86" s="45" t="s">
        <v>100</v>
      </c>
      <c r="M86" s="45" t="s">
        <v>100</v>
      </c>
      <c r="N86" s="45" t="s">
        <v>100</v>
      </c>
      <c r="O86" s="46" t="s">
        <v>101</v>
      </c>
      <c r="P86" s="44" t="s">
        <v>1254</v>
      </c>
      <c r="Q86" s="40" t="s">
        <v>1255</v>
      </c>
      <c r="R86" s="44" t="s">
        <v>1256</v>
      </c>
      <c r="S86" s="42" t="s">
        <v>140</v>
      </c>
      <c r="T86" s="47"/>
      <c r="U86" s="47"/>
      <c r="V86" s="47"/>
      <c r="W86" s="47"/>
      <c r="X86" s="47" t="s">
        <v>106</v>
      </c>
      <c r="Y86" s="47"/>
      <c r="Z86" s="43" t="s">
        <v>141</v>
      </c>
      <c r="AA86" s="43" t="s">
        <v>108</v>
      </c>
      <c r="AB86" s="47"/>
      <c r="AC86" s="47"/>
      <c r="AD86" s="47"/>
      <c r="AE86" s="47"/>
      <c r="AF86" s="47" t="s">
        <v>106</v>
      </c>
      <c r="AG86" s="47" t="s">
        <v>106</v>
      </c>
      <c r="AH86" s="43"/>
      <c r="AI86" s="42" t="s">
        <v>1241</v>
      </c>
      <c r="AJ86" s="42" t="s">
        <v>278</v>
      </c>
      <c r="AK86" s="43" t="s">
        <v>111</v>
      </c>
      <c r="AL86" s="43" t="s">
        <v>112</v>
      </c>
      <c r="AM86" s="43" t="s">
        <v>111</v>
      </c>
      <c r="AN86" s="43" t="s">
        <v>114</v>
      </c>
      <c r="AO86" s="43" t="s">
        <v>115</v>
      </c>
      <c r="AP86" s="43" t="s">
        <v>114</v>
      </c>
      <c r="AQ86" s="43" t="s">
        <v>114</v>
      </c>
      <c r="AR86" s="43" t="s">
        <v>115</v>
      </c>
      <c r="AS86" s="43" t="s">
        <v>115</v>
      </c>
      <c r="AT86" s="43" t="s">
        <v>114</v>
      </c>
      <c r="AU86" s="43" t="s">
        <v>114</v>
      </c>
      <c r="AV86" s="48" t="s">
        <v>116</v>
      </c>
      <c r="AW86" s="40" t="s">
        <v>1257</v>
      </c>
      <c r="AX86" s="40" t="s">
        <v>1258</v>
      </c>
      <c r="AY86" s="32"/>
      <c r="AZ86" s="32"/>
      <c r="BA86" s="32" t="s">
        <v>145</v>
      </c>
      <c r="BB86" s="32"/>
      <c r="BC86" s="32"/>
      <c r="BD86" s="32" t="s">
        <v>162</v>
      </c>
      <c r="BE86" s="32">
        <v>1</v>
      </c>
      <c r="BF86" s="39" t="s">
        <v>1259</v>
      </c>
      <c r="BG86" s="32" t="s">
        <v>123</v>
      </c>
      <c r="BH86" s="36" t="s">
        <v>124</v>
      </c>
      <c r="BI86" s="36" t="s">
        <v>125</v>
      </c>
      <c r="BJ86" s="36" t="s">
        <v>126</v>
      </c>
      <c r="BK86" s="36" t="s">
        <v>127</v>
      </c>
      <c r="BL86" s="36" t="s">
        <v>128</v>
      </c>
      <c r="BM86" s="36" t="s">
        <v>129</v>
      </c>
      <c r="BN86" s="36" t="s">
        <v>1260</v>
      </c>
      <c r="BO86" s="36" t="s">
        <v>1261</v>
      </c>
      <c r="BP86" s="37"/>
      <c r="BQ86" s="32" t="s">
        <v>106</v>
      </c>
      <c r="BR86" s="32"/>
      <c r="BS86" s="32" t="s">
        <v>106</v>
      </c>
      <c r="BT86" s="32"/>
      <c r="BU86" s="32"/>
      <c r="BV86" s="32"/>
      <c r="BW86" s="36"/>
      <c r="BX86" s="39"/>
      <c r="BY86" s="39"/>
    </row>
    <row r="87" spans="1:77" s="84" customFormat="1" ht="21.95" customHeight="1">
      <c r="A87" s="80">
        <v>1</v>
      </c>
      <c r="B87" s="76" t="s">
        <v>1262</v>
      </c>
      <c r="C87" s="30" t="s">
        <v>1263</v>
      </c>
      <c r="D87" s="31" t="s">
        <v>1264</v>
      </c>
      <c r="E87" s="31" t="s">
        <v>1265</v>
      </c>
      <c r="F87" s="32" t="s">
        <v>1266</v>
      </c>
      <c r="G87" s="32" t="s">
        <v>1267</v>
      </c>
      <c r="H87" s="32" t="s">
        <v>546</v>
      </c>
      <c r="I87" s="33" t="s">
        <v>1268</v>
      </c>
      <c r="J87" s="34" t="s">
        <v>738</v>
      </c>
      <c r="K87" s="34" t="s">
        <v>738</v>
      </c>
      <c r="L87" s="34" t="s">
        <v>100</v>
      </c>
      <c r="M87" s="34" t="s">
        <v>738</v>
      </c>
      <c r="N87" s="34" t="s">
        <v>738</v>
      </c>
      <c r="O87" s="35" t="s">
        <v>640</v>
      </c>
      <c r="P87" s="33" t="s">
        <v>1269</v>
      </c>
      <c r="Q87" s="36" t="s">
        <v>1270</v>
      </c>
      <c r="R87" s="33" t="s">
        <v>1271</v>
      </c>
      <c r="S87" s="31" t="s">
        <v>140</v>
      </c>
      <c r="T87" s="37" t="s">
        <v>106</v>
      </c>
      <c r="U87" s="37"/>
      <c r="V87" s="37"/>
      <c r="W87" s="37" t="s">
        <v>106</v>
      </c>
      <c r="X87" s="37"/>
      <c r="Y87" s="37" t="s">
        <v>106</v>
      </c>
      <c r="Z87" s="32" t="s">
        <v>107</v>
      </c>
      <c r="AA87" s="32" t="s">
        <v>108</v>
      </c>
      <c r="AB87" s="37"/>
      <c r="AC87" s="37" t="s">
        <v>106</v>
      </c>
      <c r="AD87" s="37"/>
      <c r="AE87" s="37" t="s">
        <v>106</v>
      </c>
      <c r="AF87" s="37" t="s">
        <v>106</v>
      </c>
      <c r="AG87" s="37" t="s">
        <v>106</v>
      </c>
      <c r="AH87" s="32" t="s">
        <v>106</v>
      </c>
      <c r="AI87" s="31" t="s">
        <v>1272</v>
      </c>
      <c r="AJ87" s="31" t="s">
        <v>278</v>
      </c>
      <c r="AK87" s="32" t="s">
        <v>111</v>
      </c>
      <c r="AL87" s="32" t="s">
        <v>112</v>
      </c>
      <c r="AM87" s="32" t="s">
        <v>111</v>
      </c>
      <c r="AN87" s="32" t="s">
        <v>114</v>
      </c>
      <c r="AO87" s="32" t="s">
        <v>114</v>
      </c>
      <c r="AP87" s="32" t="s">
        <v>592</v>
      </c>
      <c r="AQ87" s="32" t="s">
        <v>114</v>
      </c>
      <c r="AR87" s="32" t="s">
        <v>114</v>
      </c>
      <c r="AS87" s="32" t="s">
        <v>592</v>
      </c>
      <c r="AT87" s="32" t="s">
        <v>114</v>
      </c>
      <c r="AU87" s="32" t="s">
        <v>114</v>
      </c>
      <c r="AV87" s="38" t="s">
        <v>116</v>
      </c>
      <c r="AW87" s="36" t="s">
        <v>1273</v>
      </c>
      <c r="AX87" s="36" t="s">
        <v>1274</v>
      </c>
      <c r="AY87" s="32"/>
      <c r="AZ87" s="32"/>
      <c r="BA87" s="32" t="s">
        <v>106</v>
      </c>
      <c r="BB87" s="32"/>
      <c r="BC87" s="32" t="s">
        <v>1275</v>
      </c>
      <c r="BD87" s="32" t="s">
        <v>162</v>
      </c>
      <c r="BE87" s="32">
        <v>1</v>
      </c>
      <c r="BF87" s="39" t="s">
        <v>1276</v>
      </c>
      <c r="BG87" s="32" t="s">
        <v>1277</v>
      </c>
      <c r="BH87" s="36" t="s">
        <v>124</v>
      </c>
      <c r="BI87" s="36" t="s">
        <v>125</v>
      </c>
      <c r="BJ87" s="36" t="s">
        <v>126</v>
      </c>
      <c r="BK87" s="36" t="s">
        <v>127</v>
      </c>
      <c r="BL87" s="36" t="s">
        <v>128</v>
      </c>
      <c r="BM87" s="36" t="s">
        <v>129</v>
      </c>
      <c r="BN87" s="36" t="s">
        <v>1278</v>
      </c>
      <c r="BO87" s="36" t="s">
        <v>1279</v>
      </c>
      <c r="BP87" s="37"/>
      <c r="BQ87" s="32" t="s">
        <v>106</v>
      </c>
      <c r="BR87" s="32"/>
      <c r="BS87" s="32" t="s">
        <v>106</v>
      </c>
      <c r="BT87" s="32"/>
      <c r="BU87" s="32"/>
      <c r="BV87" s="32"/>
      <c r="BW87" s="36" t="s">
        <v>1280</v>
      </c>
      <c r="BX87" s="39" t="s">
        <v>1281</v>
      </c>
      <c r="BY87" s="39" t="s">
        <v>1282</v>
      </c>
    </row>
    <row r="88" spans="1:77" s="84" customFormat="1" ht="21.95" customHeight="1">
      <c r="A88" s="80">
        <v>1</v>
      </c>
      <c r="B88" s="76" t="s">
        <v>1262</v>
      </c>
      <c r="C88" s="30" t="s">
        <v>1283</v>
      </c>
      <c r="D88" s="31" t="s">
        <v>1284</v>
      </c>
      <c r="E88" s="31" t="s">
        <v>1285</v>
      </c>
      <c r="F88" s="32" t="s">
        <v>1286</v>
      </c>
      <c r="G88" s="32" t="s">
        <v>1287</v>
      </c>
      <c r="H88" s="32" t="s">
        <v>787</v>
      </c>
      <c r="I88" s="33" t="s">
        <v>1288</v>
      </c>
      <c r="J88" s="34" t="s">
        <v>738</v>
      </c>
      <c r="K88" s="34" t="s">
        <v>738</v>
      </c>
      <c r="L88" s="34" t="s">
        <v>738</v>
      </c>
      <c r="M88" s="34" t="s">
        <v>100</v>
      </c>
      <c r="N88" s="34" t="s">
        <v>100</v>
      </c>
      <c r="O88" s="35" t="s">
        <v>640</v>
      </c>
      <c r="P88" s="33" t="s">
        <v>1289</v>
      </c>
      <c r="Q88" s="36" t="s">
        <v>1290</v>
      </c>
      <c r="R88" s="33" t="s">
        <v>1291</v>
      </c>
      <c r="S88" s="31" t="s">
        <v>140</v>
      </c>
      <c r="T88" s="37" t="s">
        <v>106</v>
      </c>
      <c r="U88" s="37" t="s">
        <v>106</v>
      </c>
      <c r="V88" s="37"/>
      <c r="W88" s="37" t="s">
        <v>106</v>
      </c>
      <c r="X88" s="37"/>
      <c r="Y88" s="37"/>
      <c r="Z88" s="32" t="s">
        <v>107</v>
      </c>
      <c r="AA88" s="32" t="s">
        <v>108</v>
      </c>
      <c r="AB88" s="37"/>
      <c r="AC88" s="37"/>
      <c r="AD88" s="37"/>
      <c r="AE88" s="37"/>
      <c r="AF88" s="37" t="s">
        <v>106</v>
      </c>
      <c r="AG88" s="37"/>
      <c r="AH88" s="32"/>
      <c r="AI88" s="31" t="s">
        <v>1292</v>
      </c>
      <c r="AJ88" s="31" t="s">
        <v>142</v>
      </c>
      <c r="AK88" s="32" t="s">
        <v>111</v>
      </c>
      <c r="AL88" s="32" t="s">
        <v>761</v>
      </c>
      <c r="AM88" s="32" t="s">
        <v>111</v>
      </c>
      <c r="AN88" s="32" t="s">
        <v>114</v>
      </c>
      <c r="AO88" s="32" t="s">
        <v>115</v>
      </c>
      <c r="AP88" s="32" t="s">
        <v>592</v>
      </c>
      <c r="AQ88" s="32" t="s">
        <v>114</v>
      </c>
      <c r="AR88" s="32" t="s">
        <v>114</v>
      </c>
      <c r="AS88" s="32" t="s">
        <v>114</v>
      </c>
      <c r="AT88" s="32" t="s">
        <v>701</v>
      </c>
      <c r="AU88" s="32" t="s">
        <v>115</v>
      </c>
      <c r="AV88" s="38" t="s">
        <v>116</v>
      </c>
      <c r="AW88" s="36" t="s">
        <v>1293</v>
      </c>
      <c r="AX88" s="36" t="s">
        <v>1294</v>
      </c>
      <c r="AY88" s="32"/>
      <c r="AZ88" s="32"/>
      <c r="BA88" s="32" t="s">
        <v>106</v>
      </c>
      <c r="BB88" s="32"/>
      <c r="BC88" s="32" t="s">
        <v>1295</v>
      </c>
      <c r="BD88" s="32" t="s">
        <v>162</v>
      </c>
      <c r="BE88" s="32">
        <v>1</v>
      </c>
      <c r="BF88" s="39" t="s">
        <v>1296</v>
      </c>
      <c r="BG88" s="32" t="s">
        <v>1277</v>
      </c>
      <c r="BH88" s="36" t="s">
        <v>124</v>
      </c>
      <c r="BI88" s="36" t="s">
        <v>125</v>
      </c>
      <c r="BJ88" s="36" t="s">
        <v>126</v>
      </c>
      <c r="BK88" s="36" t="s">
        <v>127</v>
      </c>
      <c r="BL88" s="36" t="s">
        <v>128</v>
      </c>
      <c r="BM88" s="36" t="s">
        <v>129</v>
      </c>
      <c r="BN88" s="36" t="s">
        <v>1297</v>
      </c>
      <c r="BO88" s="36" t="s">
        <v>1298</v>
      </c>
      <c r="BP88" s="37"/>
      <c r="BQ88" s="32" t="s">
        <v>106</v>
      </c>
      <c r="BR88" s="32"/>
      <c r="BS88" s="32" t="s">
        <v>106</v>
      </c>
      <c r="BT88" s="32"/>
      <c r="BU88" s="32"/>
      <c r="BV88" s="32"/>
      <c r="BW88" s="36" t="s">
        <v>1299</v>
      </c>
      <c r="BX88" s="39" t="s">
        <v>1300</v>
      </c>
      <c r="BY88" s="39" t="s">
        <v>1301</v>
      </c>
    </row>
    <row r="89" spans="1:77" s="81" customFormat="1" ht="21.95" customHeight="1">
      <c r="A89" s="60">
        <v>7</v>
      </c>
      <c r="B89" s="77" t="s">
        <v>1302</v>
      </c>
      <c r="C89" s="41" t="s">
        <v>1303</v>
      </c>
      <c r="D89" s="42" t="s">
        <v>1284</v>
      </c>
      <c r="E89" s="42" t="s">
        <v>1285</v>
      </c>
      <c r="F89" s="43" t="s">
        <v>1304</v>
      </c>
      <c r="G89" s="43" t="s">
        <v>1305</v>
      </c>
      <c r="H89" s="43" t="s">
        <v>1498</v>
      </c>
      <c r="I89" s="44" t="s">
        <v>1306</v>
      </c>
      <c r="J89" s="45" t="s">
        <v>100</v>
      </c>
      <c r="K89" s="45" t="s">
        <v>100</v>
      </c>
      <c r="L89" s="45" t="s">
        <v>100</v>
      </c>
      <c r="M89" s="45" t="s">
        <v>100</v>
      </c>
      <c r="N89" s="45" t="s">
        <v>100</v>
      </c>
      <c r="O89" s="46" t="s">
        <v>101</v>
      </c>
      <c r="P89" s="44" t="s">
        <v>1307</v>
      </c>
      <c r="Q89" s="40" t="s">
        <v>1308</v>
      </c>
      <c r="R89" s="44" t="s">
        <v>1309</v>
      </c>
      <c r="S89" s="42" t="s">
        <v>257</v>
      </c>
      <c r="T89" s="47" t="s">
        <v>106</v>
      </c>
      <c r="U89" s="47" t="s">
        <v>106</v>
      </c>
      <c r="V89" s="47"/>
      <c r="W89" s="47"/>
      <c r="X89" s="47" t="s">
        <v>106</v>
      </c>
      <c r="Y89" s="47" t="s">
        <v>106</v>
      </c>
      <c r="Z89" s="43" t="s">
        <v>107</v>
      </c>
      <c r="AA89" s="43" t="s">
        <v>108</v>
      </c>
      <c r="AB89" s="47" t="s">
        <v>106</v>
      </c>
      <c r="AC89" s="47" t="s">
        <v>106</v>
      </c>
      <c r="AD89" s="47"/>
      <c r="AE89" s="47"/>
      <c r="AF89" s="47"/>
      <c r="AG89" s="47" t="s">
        <v>106</v>
      </c>
      <c r="AH89" s="43"/>
      <c r="AI89" s="42" t="s">
        <v>1310</v>
      </c>
      <c r="AJ89" s="42" t="s">
        <v>743</v>
      </c>
      <c r="AK89" s="43" t="s">
        <v>111</v>
      </c>
      <c r="AL89" s="43" t="s">
        <v>260</v>
      </c>
      <c r="AM89" s="43" t="s">
        <v>111</v>
      </c>
      <c r="AN89" s="43" t="s">
        <v>113</v>
      </c>
      <c r="AO89" s="43" t="s">
        <v>115</v>
      </c>
      <c r="AP89" s="43" t="s">
        <v>115</v>
      </c>
      <c r="AQ89" s="43" t="s">
        <v>115</v>
      </c>
      <c r="AR89" s="43" t="s">
        <v>115</v>
      </c>
      <c r="AS89" s="43" t="s">
        <v>115</v>
      </c>
      <c r="AT89" s="43" t="s">
        <v>115</v>
      </c>
      <c r="AU89" s="43" t="s">
        <v>115</v>
      </c>
      <c r="AV89" s="48" t="s">
        <v>116</v>
      </c>
      <c r="AW89" s="40" t="s">
        <v>1492</v>
      </c>
      <c r="AX89" s="40" t="s">
        <v>1311</v>
      </c>
      <c r="AY89" s="43"/>
      <c r="AZ89" s="43"/>
      <c r="BA89" s="43" t="s">
        <v>106</v>
      </c>
      <c r="BB89" s="43"/>
      <c r="BC89" s="43" t="s">
        <v>1312</v>
      </c>
      <c r="BD89" s="43" t="s">
        <v>121</v>
      </c>
      <c r="BE89" s="43">
        <v>7</v>
      </c>
      <c r="BF89" s="49" t="s">
        <v>1313</v>
      </c>
      <c r="BG89" s="43" t="s">
        <v>1314</v>
      </c>
      <c r="BH89" s="40" t="s">
        <v>124</v>
      </c>
      <c r="BI89" s="40" t="s">
        <v>125</v>
      </c>
      <c r="BJ89" s="40" t="s">
        <v>126</v>
      </c>
      <c r="BK89" s="40" t="s">
        <v>127</v>
      </c>
      <c r="BL89" s="40" t="s">
        <v>128</v>
      </c>
      <c r="BM89" s="40" t="s">
        <v>129</v>
      </c>
      <c r="BN89" s="40" t="s">
        <v>1315</v>
      </c>
      <c r="BO89" s="40" t="s">
        <v>1316</v>
      </c>
      <c r="BP89" s="47"/>
      <c r="BQ89" s="43" t="s">
        <v>106</v>
      </c>
      <c r="BR89" s="43"/>
      <c r="BS89" s="43" t="s">
        <v>106</v>
      </c>
      <c r="BT89" s="43"/>
      <c r="BU89" s="43"/>
      <c r="BV89" s="43"/>
      <c r="BW89" s="40" t="s">
        <v>1317</v>
      </c>
      <c r="BX89" s="49" t="s">
        <v>1318</v>
      </c>
      <c r="BY89" s="49" t="s">
        <v>1319</v>
      </c>
    </row>
    <row r="90" spans="1:77" s="81" customFormat="1" ht="21.95" customHeight="1">
      <c r="A90" s="60">
        <v>7</v>
      </c>
      <c r="B90" s="77" t="s">
        <v>1302</v>
      </c>
      <c r="C90" s="41" t="s">
        <v>1303</v>
      </c>
      <c r="D90" s="42" t="s">
        <v>1320</v>
      </c>
      <c r="E90" s="42" t="s">
        <v>1285</v>
      </c>
      <c r="F90" s="43" t="s">
        <v>1304</v>
      </c>
      <c r="G90" s="43" t="s">
        <v>1321</v>
      </c>
      <c r="H90" s="43" t="s">
        <v>787</v>
      </c>
      <c r="I90" s="44" t="s">
        <v>1322</v>
      </c>
      <c r="J90" s="45" t="s">
        <v>100</v>
      </c>
      <c r="K90" s="45" t="s">
        <v>738</v>
      </c>
      <c r="L90" s="45" t="s">
        <v>100</v>
      </c>
      <c r="M90" s="45" t="s">
        <v>100</v>
      </c>
      <c r="N90" s="45" t="s">
        <v>100</v>
      </c>
      <c r="O90" s="46" t="s">
        <v>101</v>
      </c>
      <c r="P90" s="44" t="s">
        <v>1323</v>
      </c>
      <c r="Q90" s="40" t="s">
        <v>1324</v>
      </c>
      <c r="R90" s="44" t="s">
        <v>1325</v>
      </c>
      <c r="S90" s="42" t="s">
        <v>105</v>
      </c>
      <c r="T90" s="47"/>
      <c r="U90" s="47"/>
      <c r="V90" s="47" t="s">
        <v>106</v>
      </c>
      <c r="W90" s="47"/>
      <c r="X90" s="47"/>
      <c r="Y90" s="47" t="s">
        <v>106</v>
      </c>
      <c r="Z90" s="43" t="s">
        <v>863</v>
      </c>
      <c r="AA90" s="43" t="s">
        <v>108</v>
      </c>
      <c r="AB90" s="47" t="s">
        <v>106</v>
      </c>
      <c r="AC90" s="47"/>
      <c r="AD90" s="47"/>
      <c r="AE90" s="47"/>
      <c r="AF90" s="47"/>
      <c r="AG90" s="47" t="s">
        <v>106</v>
      </c>
      <c r="AH90" s="43"/>
      <c r="AI90" s="42" t="s">
        <v>1310</v>
      </c>
      <c r="AJ90" s="42" t="s">
        <v>591</v>
      </c>
      <c r="AK90" s="43" t="s">
        <v>111</v>
      </c>
      <c r="AL90" s="43" t="s">
        <v>174</v>
      </c>
      <c r="AM90" s="43" t="s">
        <v>111</v>
      </c>
      <c r="AN90" s="43" t="s">
        <v>115</v>
      </c>
      <c r="AO90" s="43" t="s">
        <v>114</v>
      </c>
      <c r="AP90" s="43" t="s">
        <v>114</v>
      </c>
      <c r="AQ90" s="43" t="s">
        <v>114</v>
      </c>
      <c r="AR90" s="43" t="s">
        <v>114</v>
      </c>
      <c r="AS90" s="43" t="s">
        <v>113</v>
      </c>
      <c r="AT90" s="43" t="s">
        <v>115</v>
      </c>
      <c r="AU90" s="43" t="s">
        <v>115</v>
      </c>
      <c r="AV90" s="48" t="s">
        <v>116</v>
      </c>
      <c r="AW90" s="40" t="s">
        <v>1481</v>
      </c>
      <c r="AX90" s="40" t="s">
        <v>1326</v>
      </c>
      <c r="AY90" s="43" t="s">
        <v>106</v>
      </c>
      <c r="AZ90" s="43" t="s">
        <v>106</v>
      </c>
      <c r="BA90" s="43"/>
      <c r="BB90" s="43"/>
      <c r="BC90" s="43" t="s">
        <v>1327</v>
      </c>
      <c r="BD90" s="43" t="s">
        <v>162</v>
      </c>
      <c r="BE90" s="43">
        <v>7</v>
      </c>
      <c r="BF90" s="49" t="s">
        <v>1328</v>
      </c>
      <c r="BG90" s="43" t="s">
        <v>1314</v>
      </c>
      <c r="BH90" s="40" t="s">
        <v>124</v>
      </c>
      <c r="BI90" s="40" t="s">
        <v>125</v>
      </c>
      <c r="BJ90" s="40" t="s">
        <v>126</v>
      </c>
      <c r="BK90" s="40" t="s">
        <v>127</v>
      </c>
      <c r="BL90" s="40" t="s">
        <v>128</v>
      </c>
      <c r="BM90" s="40" t="s">
        <v>129</v>
      </c>
      <c r="BN90" s="40" t="s">
        <v>1329</v>
      </c>
      <c r="BO90" s="40" t="s">
        <v>1316</v>
      </c>
      <c r="BP90" s="47"/>
      <c r="BQ90" s="43" t="s">
        <v>106</v>
      </c>
      <c r="BR90" s="43"/>
      <c r="BS90" s="43" t="s">
        <v>106</v>
      </c>
      <c r="BT90" s="43"/>
      <c r="BU90" s="43"/>
      <c r="BV90" s="43"/>
      <c r="BW90" s="40" t="s">
        <v>1330</v>
      </c>
      <c r="BX90" s="49" t="s">
        <v>1331</v>
      </c>
      <c r="BY90" s="49" t="s">
        <v>1332</v>
      </c>
    </row>
    <row r="91" spans="1:77" s="81" customFormat="1" ht="21.95" customHeight="1">
      <c r="A91" s="60">
        <v>5</v>
      </c>
      <c r="B91" s="77" t="s">
        <v>1302</v>
      </c>
      <c r="C91" s="41" t="s">
        <v>1283</v>
      </c>
      <c r="D91" s="42" t="s">
        <v>1284</v>
      </c>
      <c r="E91" s="42" t="s">
        <v>1285</v>
      </c>
      <c r="F91" s="43" t="s">
        <v>1333</v>
      </c>
      <c r="G91" s="43" t="s">
        <v>1334</v>
      </c>
      <c r="H91" s="43" t="s">
        <v>787</v>
      </c>
      <c r="I91" s="44" t="s">
        <v>1335</v>
      </c>
      <c r="J91" s="45" t="s">
        <v>100</v>
      </c>
      <c r="K91" s="45" t="s">
        <v>100</v>
      </c>
      <c r="L91" s="45" t="s">
        <v>738</v>
      </c>
      <c r="M91" s="45" t="s">
        <v>100</v>
      </c>
      <c r="N91" s="45" t="s">
        <v>100</v>
      </c>
      <c r="O91" s="46" t="s">
        <v>101</v>
      </c>
      <c r="P91" s="44" t="s">
        <v>1336</v>
      </c>
      <c r="Q91" s="40" t="s">
        <v>1337</v>
      </c>
      <c r="R91" s="44" t="s">
        <v>1338</v>
      </c>
      <c r="S91" s="42" t="s">
        <v>257</v>
      </c>
      <c r="T91" s="47" t="s">
        <v>106</v>
      </c>
      <c r="U91" s="47"/>
      <c r="V91" s="47"/>
      <c r="W91" s="47"/>
      <c r="X91" s="47" t="s">
        <v>106</v>
      </c>
      <c r="Y91" s="47" t="s">
        <v>106</v>
      </c>
      <c r="Z91" s="43" t="s">
        <v>107</v>
      </c>
      <c r="AA91" s="43" t="s">
        <v>108</v>
      </c>
      <c r="AB91" s="47"/>
      <c r="AC91" s="47" t="s">
        <v>106</v>
      </c>
      <c r="AD91" s="47" t="s">
        <v>106</v>
      </c>
      <c r="AE91" s="47"/>
      <c r="AF91" s="47" t="s">
        <v>106</v>
      </c>
      <c r="AG91" s="47"/>
      <c r="AH91" s="43" t="s">
        <v>106</v>
      </c>
      <c r="AI91" s="42" t="s">
        <v>1339</v>
      </c>
      <c r="AJ91" s="42" t="s">
        <v>791</v>
      </c>
      <c r="AK91" s="43" t="s">
        <v>111</v>
      </c>
      <c r="AL91" s="43" t="s">
        <v>112</v>
      </c>
      <c r="AM91" s="43" t="s">
        <v>111</v>
      </c>
      <c r="AN91" s="43" t="s">
        <v>114</v>
      </c>
      <c r="AO91" s="43" t="s">
        <v>114</v>
      </c>
      <c r="AP91" s="43" t="s">
        <v>115</v>
      </c>
      <c r="AQ91" s="43" t="s">
        <v>115</v>
      </c>
      <c r="AR91" s="43" t="s">
        <v>115</v>
      </c>
      <c r="AS91" s="43" t="s">
        <v>115</v>
      </c>
      <c r="AT91" s="43" t="s">
        <v>115</v>
      </c>
      <c r="AU91" s="43" t="s">
        <v>114</v>
      </c>
      <c r="AV91" s="48" t="s">
        <v>116</v>
      </c>
      <c r="AW91" s="40" t="s">
        <v>1493</v>
      </c>
      <c r="AX91" s="40" t="s">
        <v>1340</v>
      </c>
      <c r="AY91" s="43"/>
      <c r="AZ91" s="43"/>
      <c r="BA91" s="43" t="s">
        <v>106</v>
      </c>
      <c r="BB91" s="43"/>
      <c r="BC91" s="43" t="s">
        <v>1341</v>
      </c>
      <c r="BD91" s="43" t="s">
        <v>162</v>
      </c>
      <c r="BE91" s="43">
        <v>5</v>
      </c>
      <c r="BF91" s="49" t="s">
        <v>1342</v>
      </c>
      <c r="BG91" s="43" t="s">
        <v>1277</v>
      </c>
      <c r="BH91" s="40" t="s">
        <v>124</v>
      </c>
      <c r="BI91" s="40" t="s">
        <v>125</v>
      </c>
      <c r="BJ91" s="40" t="s">
        <v>126</v>
      </c>
      <c r="BK91" s="40" t="s">
        <v>127</v>
      </c>
      <c r="BL91" s="40" t="s">
        <v>128</v>
      </c>
      <c r="BM91" s="40" t="s">
        <v>129</v>
      </c>
      <c r="BN91" s="40" t="s">
        <v>1343</v>
      </c>
      <c r="BO91" s="40" t="s">
        <v>1344</v>
      </c>
      <c r="BP91" s="47"/>
      <c r="BQ91" s="43" t="s">
        <v>106</v>
      </c>
      <c r="BR91" s="43"/>
      <c r="BS91" s="43" t="s">
        <v>106</v>
      </c>
      <c r="BT91" s="43"/>
      <c r="BU91" s="43"/>
      <c r="BV91" s="43"/>
      <c r="BW91" s="40" t="s">
        <v>1345</v>
      </c>
      <c r="BX91" s="49" t="s">
        <v>1346</v>
      </c>
      <c r="BY91" s="49" t="s">
        <v>1347</v>
      </c>
    </row>
    <row r="92" spans="1:77" s="81" customFormat="1" ht="21.95" customHeight="1">
      <c r="A92" s="60">
        <v>5</v>
      </c>
      <c r="B92" s="77" t="s">
        <v>1262</v>
      </c>
      <c r="C92" s="41" t="s">
        <v>1263</v>
      </c>
      <c r="D92" s="42" t="s">
        <v>1320</v>
      </c>
      <c r="E92" s="42" t="s">
        <v>1285</v>
      </c>
      <c r="F92" s="43" t="s">
        <v>1348</v>
      </c>
      <c r="G92" s="43" t="s">
        <v>1349</v>
      </c>
      <c r="H92" s="43" t="s">
        <v>1498</v>
      </c>
      <c r="I92" s="44" t="s">
        <v>1350</v>
      </c>
      <c r="J92" s="45" t="s">
        <v>100</v>
      </c>
      <c r="K92" s="45" t="s">
        <v>738</v>
      </c>
      <c r="L92" s="45" t="s">
        <v>100</v>
      </c>
      <c r="M92" s="45" t="s">
        <v>100</v>
      </c>
      <c r="N92" s="45" t="s">
        <v>100</v>
      </c>
      <c r="O92" s="46" t="s">
        <v>101</v>
      </c>
      <c r="P92" s="44" t="s">
        <v>1351</v>
      </c>
      <c r="Q92" s="40" t="s">
        <v>1352</v>
      </c>
      <c r="R92" s="44" t="s">
        <v>1353</v>
      </c>
      <c r="S92" s="42" t="s">
        <v>140</v>
      </c>
      <c r="T92" s="47" t="s">
        <v>106</v>
      </c>
      <c r="U92" s="47"/>
      <c r="V92" s="47"/>
      <c r="W92" s="47"/>
      <c r="X92" s="47" t="s">
        <v>106</v>
      </c>
      <c r="Y92" s="47" t="s">
        <v>106</v>
      </c>
      <c r="Z92" s="43" t="s">
        <v>141</v>
      </c>
      <c r="AA92" s="43" t="s">
        <v>108</v>
      </c>
      <c r="AB92" s="47"/>
      <c r="AC92" s="47" t="s">
        <v>106</v>
      </c>
      <c r="AD92" s="47" t="s">
        <v>106</v>
      </c>
      <c r="AE92" s="47"/>
      <c r="AF92" s="47"/>
      <c r="AG92" s="47" t="s">
        <v>106</v>
      </c>
      <c r="AH92" s="43"/>
      <c r="AI92" s="42" t="s">
        <v>1339</v>
      </c>
      <c r="AJ92" s="42" t="s">
        <v>820</v>
      </c>
      <c r="AK92" s="43" t="s">
        <v>111</v>
      </c>
      <c r="AL92" s="43" t="s">
        <v>112</v>
      </c>
      <c r="AM92" s="43" t="s">
        <v>111</v>
      </c>
      <c r="AN92" s="43" t="s">
        <v>114</v>
      </c>
      <c r="AO92" s="43" t="s">
        <v>114</v>
      </c>
      <c r="AP92" s="43" t="s">
        <v>115</v>
      </c>
      <c r="AQ92" s="43" t="s">
        <v>114</v>
      </c>
      <c r="AR92" s="43" t="s">
        <v>114</v>
      </c>
      <c r="AS92" s="43" t="s">
        <v>114</v>
      </c>
      <c r="AT92" s="43" t="s">
        <v>592</v>
      </c>
      <c r="AU92" s="43" t="s">
        <v>114</v>
      </c>
      <c r="AV92" s="48" t="s">
        <v>116</v>
      </c>
      <c r="AW92" s="40" t="s">
        <v>1494</v>
      </c>
      <c r="AX92" s="40" t="s">
        <v>1354</v>
      </c>
      <c r="AY92" s="43"/>
      <c r="AZ92" s="43"/>
      <c r="BA92" s="43" t="s">
        <v>106</v>
      </c>
      <c r="BB92" s="43"/>
      <c r="BC92" s="43" t="s">
        <v>1341</v>
      </c>
      <c r="BD92" s="43" t="s">
        <v>162</v>
      </c>
      <c r="BE92" s="43">
        <v>5</v>
      </c>
      <c r="BF92" s="49" t="s">
        <v>1355</v>
      </c>
      <c r="BG92" s="43" t="s">
        <v>1356</v>
      </c>
      <c r="BH92" s="40" t="s">
        <v>124</v>
      </c>
      <c r="BI92" s="40" t="s">
        <v>125</v>
      </c>
      <c r="BJ92" s="40" t="s">
        <v>126</v>
      </c>
      <c r="BK92" s="40" t="s">
        <v>127</v>
      </c>
      <c r="BL92" s="40" t="s">
        <v>128</v>
      </c>
      <c r="BM92" s="40" t="s">
        <v>129</v>
      </c>
      <c r="BN92" s="40" t="s">
        <v>1357</v>
      </c>
      <c r="BO92" s="40" t="s">
        <v>1358</v>
      </c>
      <c r="BP92" s="47"/>
      <c r="BQ92" s="43" t="s">
        <v>106</v>
      </c>
      <c r="BR92" s="43"/>
      <c r="BS92" s="43" t="s">
        <v>106</v>
      </c>
      <c r="BT92" s="43"/>
      <c r="BU92" s="43"/>
      <c r="BV92" s="43"/>
      <c r="BW92" s="40"/>
      <c r="BX92" s="49"/>
      <c r="BY92" s="49"/>
    </row>
    <row r="93" spans="1:77" s="81" customFormat="1" ht="21.95" customHeight="1">
      <c r="A93" s="60">
        <v>2</v>
      </c>
      <c r="B93" s="77" t="s">
        <v>1359</v>
      </c>
      <c r="C93" s="41" t="s">
        <v>1263</v>
      </c>
      <c r="D93" s="42" t="s">
        <v>1360</v>
      </c>
      <c r="E93" s="42" t="s">
        <v>1361</v>
      </c>
      <c r="F93" s="43" t="s">
        <v>1362</v>
      </c>
      <c r="G93" s="43" t="s">
        <v>1363</v>
      </c>
      <c r="H93" s="43" t="s">
        <v>637</v>
      </c>
      <c r="I93" s="44" t="s">
        <v>1364</v>
      </c>
      <c r="J93" s="45" t="s">
        <v>100</v>
      </c>
      <c r="K93" s="45" t="s">
        <v>738</v>
      </c>
      <c r="L93" s="45" t="s">
        <v>100</v>
      </c>
      <c r="M93" s="45" t="s">
        <v>100</v>
      </c>
      <c r="N93" s="45" t="s">
        <v>100</v>
      </c>
      <c r="O93" s="46" t="s">
        <v>101</v>
      </c>
      <c r="P93" s="44" t="s">
        <v>1365</v>
      </c>
      <c r="Q93" s="40" t="s">
        <v>1366</v>
      </c>
      <c r="R93" s="44" t="s">
        <v>1367</v>
      </c>
      <c r="S93" s="42" t="s">
        <v>105</v>
      </c>
      <c r="T93" s="47" t="s">
        <v>106</v>
      </c>
      <c r="U93" s="47" t="s">
        <v>106</v>
      </c>
      <c r="V93" s="47"/>
      <c r="W93" s="47"/>
      <c r="X93" s="47"/>
      <c r="Y93" s="47" t="s">
        <v>106</v>
      </c>
      <c r="Z93" s="43" t="s">
        <v>141</v>
      </c>
      <c r="AA93" s="43" t="s">
        <v>108</v>
      </c>
      <c r="AB93" s="47" t="s">
        <v>106</v>
      </c>
      <c r="AC93" s="47" t="s">
        <v>106</v>
      </c>
      <c r="AD93" s="47" t="s">
        <v>106</v>
      </c>
      <c r="AE93" s="47"/>
      <c r="AF93" s="47"/>
      <c r="AG93" s="47" t="s">
        <v>106</v>
      </c>
      <c r="AH93" s="43"/>
      <c r="AI93" s="42" t="s">
        <v>1292</v>
      </c>
      <c r="AJ93" s="42" t="s">
        <v>646</v>
      </c>
      <c r="AK93" s="43" t="s">
        <v>111</v>
      </c>
      <c r="AL93" s="43" t="s">
        <v>761</v>
      </c>
      <c r="AM93" s="43" t="s">
        <v>111</v>
      </c>
      <c r="AN93" s="43" t="s">
        <v>592</v>
      </c>
      <c r="AO93" s="43" t="s">
        <v>115</v>
      </c>
      <c r="AP93" s="43" t="s">
        <v>113</v>
      </c>
      <c r="AQ93" s="43" t="s">
        <v>115</v>
      </c>
      <c r="AR93" s="43" t="s">
        <v>113</v>
      </c>
      <c r="AS93" s="43" t="s">
        <v>114</v>
      </c>
      <c r="AT93" s="43" t="s">
        <v>881</v>
      </c>
      <c r="AU93" s="43" t="s">
        <v>114</v>
      </c>
      <c r="AV93" s="48" t="s">
        <v>116</v>
      </c>
      <c r="AW93" s="40" t="s">
        <v>1368</v>
      </c>
      <c r="AX93" s="40" t="s">
        <v>1369</v>
      </c>
      <c r="AY93" s="43"/>
      <c r="AZ93" s="43"/>
      <c r="BA93" s="43" t="s">
        <v>106</v>
      </c>
      <c r="BB93" s="43"/>
      <c r="BC93" s="43" t="s">
        <v>1370</v>
      </c>
      <c r="BD93" s="43" t="s">
        <v>162</v>
      </c>
      <c r="BE93" s="43">
        <v>2</v>
      </c>
      <c r="BF93" s="49" t="s">
        <v>1371</v>
      </c>
      <c r="BG93" s="43" t="s">
        <v>1277</v>
      </c>
      <c r="BH93" s="40" t="s">
        <v>124</v>
      </c>
      <c r="BI93" s="40" t="s">
        <v>125</v>
      </c>
      <c r="BJ93" s="40" t="s">
        <v>126</v>
      </c>
      <c r="BK93" s="40" t="s">
        <v>127</v>
      </c>
      <c r="BL93" s="40" t="s">
        <v>128</v>
      </c>
      <c r="BM93" s="40" t="s">
        <v>129</v>
      </c>
      <c r="BN93" s="40" t="s">
        <v>1372</v>
      </c>
      <c r="BO93" s="40" t="s">
        <v>1373</v>
      </c>
      <c r="BP93" s="47"/>
      <c r="BQ93" s="43" t="s">
        <v>106</v>
      </c>
      <c r="BR93" s="43"/>
      <c r="BS93" s="43" t="s">
        <v>106</v>
      </c>
      <c r="BT93" s="43"/>
      <c r="BU93" s="43"/>
      <c r="BV93" s="43"/>
      <c r="BW93" s="40" t="s">
        <v>1374</v>
      </c>
      <c r="BX93" s="49" t="s">
        <v>1375</v>
      </c>
      <c r="BY93" s="49" t="s">
        <v>1376</v>
      </c>
    </row>
    <row r="94" spans="1:77" s="81" customFormat="1" ht="21.95" customHeight="1">
      <c r="A94" s="60">
        <v>2</v>
      </c>
      <c r="B94" s="77" t="s">
        <v>1359</v>
      </c>
      <c r="C94" s="41" t="s">
        <v>1263</v>
      </c>
      <c r="D94" s="42" t="s">
        <v>1377</v>
      </c>
      <c r="E94" s="42" t="s">
        <v>1378</v>
      </c>
      <c r="F94" s="43" t="s">
        <v>1379</v>
      </c>
      <c r="G94" s="43" t="s">
        <v>1380</v>
      </c>
      <c r="H94" s="43" t="s">
        <v>637</v>
      </c>
      <c r="I94" s="44" t="s">
        <v>1381</v>
      </c>
      <c r="J94" s="45" t="s">
        <v>738</v>
      </c>
      <c r="K94" s="45" t="s">
        <v>100</v>
      </c>
      <c r="L94" s="45" t="s">
        <v>100</v>
      </c>
      <c r="M94" s="45" t="s">
        <v>738</v>
      </c>
      <c r="N94" s="45" t="s">
        <v>100</v>
      </c>
      <c r="O94" s="46" t="s">
        <v>640</v>
      </c>
      <c r="P94" s="44" t="s">
        <v>1382</v>
      </c>
      <c r="Q94" s="40" t="s">
        <v>1383</v>
      </c>
      <c r="R94" s="44" t="s">
        <v>1384</v>
      </c>
      <c r="S94" s="42" t="s">
        <v>140</v>
      </c>
      <c r="T94" s="47"/>
      <c r="U94" s="47" t="s">
        <v>106</v>
      </c>
      <c r="V94" s="47"/>
      <c r="W94" s="47"/>
      <c r="X94" s="47" t="s">
        <v>106</v>
      </c>
      <c r="Y94" s="47"/>
      <c r="Z94" s="43" t="s">
        <v>863</v>
      </c>
      <c r="AA94" s="43" t="s">
        <v>108</v>
      </c>
      <c r="AB94" s="47" t="s">
        <v>106</v>
      </c>
      <c r="AC94" s="47"/>
      <c r="AD94" s="47" t="s">
        <v>106</v>
      </c>
      <c r="AE94" s="47"/>
      <c r="AF94" s="47" t="s">
        <v>106</v>
      </c>
      <c r="AG94" s="47"/>
      <c r="AH94" s="43" t="s">
        <v>106</v>
      </c>
      <c r="AI94" s="42" t="s">
        <v>1292</v>
      </c>
      <c r="AJ94" s="42" t="s">
        <v>646</v>
      </c>
      <c r="AK94" s="43" t="s">
        <v>111</v>
      </c>
      <c r="AL94" s="43" t="s">
        <v>625</v>
      </c>
      <c r="AM94" s="43" t="s">
        <v>111</v>
      </c>
      <c r="AN94" s="43" t="s">
        <v>114</v>
      </c>
      <c r="AO94" s="43" t="s">
        <v>114</v>
      </c>
      <c r="AP94" s="43" t="s">
        <v>114</v>
      </c>
      <c r="AQ94" s="43" t="s">
        <v>114</v>
      </c>
      <c r="AR94" s="43" t="s">
        <v>114</v>
      </c>
      <c r="AS94" s="43" t="s">
        <v>114</v>
      </c>
      <c r="AT94" s="43" t="s">
        <v>881</v>
      </c>
      <c r="AU94" s="43" t="s">
        <v>114</v>
      </c>
      <c r="AV94" s="48" t="s">
        <v>116</v>
      </c>
      <c r="AW94" s="40" t="s">
        <v>1385</v>
      </c>
      <c r="AX94" s="40" t="s">
        <v>1386</v>
      </c>
      <c r="AY94" s="43"/>
      <c r="AZ94" s="43"/>
      <c r="BA94" s="43" t="s">
        <v>106</v>
      </c>
      <c r="BB94" s="43"/>
      <c r="BC94" s="43" t="s">
        <v>1387</v>
      </c>
      <c r="BD94" s="43" t="s">
        <v>1388</v>
      </c>
      <c r="BE94" s="43">
        <v>2</v>
      </c>
      <c r="BF94" s="49" t="s">
        <v>1389</v>
      </c>
      <c r="BG94" s="43" t="s">
        <v>1356</v>
      </c>
      <c r="BH94" s="40" t="s">
        <v>124</v>
      </c>
      <c r="BI94" s="40" t="s">
        <v>125</v>
      </c>
      <c r="BJ94" s="40" t="s">
        <v>126</v>
      </c>
      <c r="BK94" s="40" t="s">
        <v>127</v>
      </c>
      <c r="BL94" s="40" t="s">
        <v>128</v>
      </c>
      <c r="BM94" s="40" t="s">
        <v>129</v>
      </c>
      <c r="BN94" s="40" t="s">
        <v>1390</v>
      </c>
      <c r="BO94" s="40" t="s">
        <v>1391</v>
      </c>
      <c r="BP94" s="47"/>
      <c r="BQ94" s="43" t="s">
        <v>106</v>
      </c>
      <c r="BR94" s="43"/>
      <c r="BS94" s="43" t="s">
        <v>106</v>
      </c>
      <c r="BT94" s="43"/>
      <c r="BU94" s="43"/>
      <c r="BV94" s="43"/>
      <c r="BW94" s="40"/>
      <c r="BX94" s="49"/>
      <c r="BY94" s="49"/>
    </row>
    <row r="95" spans="1:77" s="81" customFormat="1" ht="21.95" customHeight="1">
      <c r="A95" s="60">
        <v>2</v>
      </c>
      <c r="B95" s="77" t="s">
        <v>1262</v>
      </c>
      <c r="C95" s="41" t="s">
        <v>1263</v>
      </c>
      <c r="D95" s="42" t="s">
        <v>1392</v>
      </c>
      <c r="E95" s="42" t="s">
        <v>1378</v>
      </c>
      <c r="F95" s="43" t="s">
        <v>1393</v>
      </c>
      <c r="G95" s="43" t="s">
        <v>1394</v>
      </c>
      <c r="H95" s="43" t="s">
        <v>637</v>
      </c>
      <c r="I95" s="44" t="s">
        <v>1395</v>
      </c>
      <c r="J95" s="45" t="s">
        <v>100</v>
      </c>
      <c r="K95" s="45" t="s">
        <v>100</v>
      </c>
      <c r="L95" s="45" t="s">
        <v>100</v>
      </c>
      <c r="M95" s="45" t="s">
        <v>100</v>
      </c>
      <c r="N95" s="45" t="s">
        <v>100</v>
      </c>
      <c r="O95" s="46" t="s">
        <v>101</v>
      </c>
      <c r="P95" s="44" t="s">
        <v>1396</v>
      </c>
      <c r="Q95" s="40" t="s">
        <v>1397</v>
      </c>
      <c r="R95" s="44" t="s">
        <v>1398</v>
      </c>
      <c r="S95" s="42" t="s">
        <v>105</v>
      </c>
      <c r="T95" s="47"/>
      <c r="U95" s="47"/>
      <c r="V95" s="47"/>
      <c r="W95" s="47"/>
      <c r="X95" s="47" t="s">
        <v>106</v>
      </c>
      <c r="Y95" s="47" t="s">
        <v>106</v>
      </c>
      <c r="Z95" s="43" t="s">
        <v>141</v>
      </c>
      <c r="AA95" s="43" t="s">
        <v>108</v>
      </c>
      <c r="AB95" s="47" t="s">
        <v>106</v>
      </c>
      <c r="AC95" s="47" t="s">
        <v>106</v>
      </c>
      <c r="AD95" s="47"/>
      <c r="AE95" s="47" t="s">
        <v>106</v>
      </c>
      <c r="AF95" s="47" t="s">
        <v>106</v>
      </c>
      <c r="AG95" s="47"/>
      <c r="AH95" s="43" t="s">
        <v>106</v>
      </c>
      <c r="AI95" s="42" t="s">
        <v>1292</v>
      </c>
      <c r="AJ95" s="42" t="s">
        <v>646</v>
      </c>
      <c r="AK95" s="43" t="s">
        <v>111</v>
      </c>
      <c r="AL95" s="43" t="s">
        <v>174</v>
      </c>
      <c r="AM95" s="43" t="s">
        <v>111</v>
      </c>
      <c r="AN95" s="43" t="s">
        <v>114</v>
      </c>
      <c r="AO95" s="43" t="s">
        <v>114</v>
      </c>
      <c r="AP95" s="43" t="s">
        <v>113</v>
      </c>
      <c r="AQ95" s="43" t="s">
        <v>114</v>
      </c>
      <c r="AR95" s="43" t="s">
        <v>115</v>
      </c>
      <c r="AS95" s="43" t="s">
        <v>114</v>
      </c>
      <c r="AT95" s="43" t="s">
        <v>592</v>
      </c>
      <c r="AU95" s="43" t="s">
        <v>114</v>
      </c>
      <c r="AV95" s="48" t="s">
        <v>116</v>
      </c>
      <c r="AW95" s="40" t="s">
        <v>1399</v>
      </c>
      <c r="AX95" s="40" t="s">
        <v>1400</v>
      </c>
      <c r="AY95" s="43" t="s">
        <v>106</v>
      </c>
      <c r="AZ95" s="43"/>
      <c r="BA95" s="43" t="s">
        <v>106</v>
      </c>
      <c r="BB95" s="43"/>
      <c r="BC95" s="43" t="s">
        <v>1401</v>
      </c>
      <c r="BD95" s="43" t="s">
        <v>162</v>
      </c>
      <c r="BE95" s="43">
        <v>2</v>
      </c>
      <c r="BF95" s="49" t="s">
        <v>1402</v>
      </c>
      <c r="BG95" s="43" t="s">
        <v>1277</v>
      </c>
      <c r="BH95" s="40" t="s">
        <v>124</v>
      </c>
      <c r="BI95" s="40" t="s">
        <v>125</v>
      </c>
      <c r="BJ95" s="40" t="s">
        <v>126</v>
      </c>
      <c r="BK95" s="40" t="s">
        <v>127</v>
      </c>
      <c r="BL95" s="40" t="s">
        <v>128</v>
      </c>
      <c r="BM95" s="40" t="s">
        <v>129</v>
      </c>
      <c r="BN95" s="40" t="s">
        <v>1403</v>
      </c>
      <c r="BO95" s="40" t="s">
        <v>1404</v>
      </c>
      <c r="BP95" s="47"/>
      <c r="BQ95" s="43" t="s">
        <v>106</v>
      </c>
      <c r="BR95" s="43"/>
      <c r="BS95" s="43" t="s">
        <v>106</v>
      </c>
      <c r="BT95" s="43"/>
      <c r="BU95" s="43"/>
      <c r="BV95" s="43"/>
      <c r="BW95" s="40"/>
      <c r="BX95" s="49"/>
      <c r="BY95" s="49"/>
    </row>
    <row r="96" spans="1:77" s="81" customFormat="1" ht="21.95" customHeight="1">
      <c r="A96" s="60">
        <v>2</v>
      </c>
      <c r="B96" s="77" t="s">
        <v>1302</v>
      </c>
      <c r="C96" s="41" t="s">
        <v>1283</v>
      </c>
      <c r="D96" s="42" t="s">
        <v>1392</v>
      </c>
      <c r="E96" s="42" t="s">
        <v>1378</v>
      </c>
      <c r="F96" s="43" t="s">
        <v>1405</v>
      </c>
      <c r="G96" s="43" t="s">
        <v>1406</v>
      </c>
      <c r="H96" s="43" t="s">
        <v>637</v>
      </c>
      <c r="I96" s="44" t="s">
        <v>1407</v>
      </c>
      <c r="J96" s="45" t="s">
        <v>738</v>
      </c>
      <c r="K96" s="45" t="s">
        <v>738</v>
      </c>
      <c r="L96" s="45" t="s">
        <v>100</v>
      </c>
      <c r="M96" s="45" t="s">
        <v>100</v>
      </c>
      <c r="N96" s="45" t="s">
        <v>100</v>
      </c>
      <c r="O96" s="46" t="s">
        <v>640</v>
      </c>
      <c r="P96" s="44" t="s">
        <v>1408</v>
      </c>
      <c r="Q96" s="40" t="s">
        <v>1409</v>
      </c>
      <c r="R96" s="44" t="s">
        <v>1410</v>
      </c>
      <c r="S96" s="42" t="s">
        <v>257</v>
      </c>
      <c r="T96" s="47"/>
      <c r="U96" s="47" t="s">
        <v>106</v>
      </c>
      <c r="V96" s="47"/>
      <c r="W96" s="47"/>
      <c r="X96" s="47" t="s">
        <v>106</v>
      </c>
      <c r="Y96" s="47" t="s">
        <v>106</v>
      </c>
      <c r="Z96" s="43" t="s">
        <v>107</v>
      </c>
      <c r="AA96" s="43" t="s">
        <v>108</v>
      </c>
      <c r="AB96" s="47" t="s">
        <v>106</v>
      </c>
      <c r="AC96" s="47" t="s">
        <v>106</v>
      </c>
      <c r="AD96" s="47"/>
      <c r="AE96" s="47"/>
      <c r="AF96" s="47" t="s">
        <v>106</v>
      </c>
      <c r="AG96" s="47" t="s">
        <v>106</v>
      </c>
      <c r="AH96" s="43"/>
      <c r="AI96" s="42" t="s">
        <v>1411</v>
      </c>
      <c r="AJ96" s="42" t="s">
        <v>697</v>
      </c>
      <c r="AK96" s="43" t="s">
        <v>111</v>
      </c>
      <c r="AL96" s="43" t="s">
        <v>260</v>
      </c>
      <c r="AM96" s="43" t="s">
        <v>111</v>
      </c>
      <c r="AN96" s="43" t="s">
        <v>115</v>
      </c>
      <c r="AO96" s="43" t="s">
        <v>114</v>
      </c>
      <c r="AP96" s="43" t="s">
        <v>115</v>
      </c>
      <c r="AQ96" s="43" t="s">
        <v>115</v>
      </c>
      <c r="AR96" s="43" t="s">
        <v>115</v>
      </c>
      <c r="AS96" s="43" t="s">
        <v>592</v>
      </c>
      <c r="AT96" s="43" t="s">
        <v>114</v>
      </c>
      <c r="AU96" s="43" t="s">
        <v>115</v>
      </c>
      <c r="AV96" s="48" t="s">
        <v>116</v>
      </c>
      <c r="AW96" s="40" t="s">
        <v>1412</v>
      </c>
      <c r="AX96" s="40" t="s">
        <v>260</v>
      </c>
      <c r="AY96" s="43"/>
      <c r="AZ96" s="43"/>
      <c r="BA96" s="43" t="s">
        <v>106</v>
      </c>
      <c r="BB96" s="43"/>
      <c r="BC96" s="43" t="s">
        <v>1413</v>
      </c>
      <c r="BD96" s="43" t="s">
        <v>121</v>
      </c>
      <c r="BE96" s="43">
        <v>2</v>
      </c>
      <c r="BF96" s="49" t="s">
        <v>1414</v>
      </c>
      <c r="BG96" s="43" t="s">
        <v>1314</v>
      </c>
      <c r="BH96" s="40" t="s">
        <v>124</v>
      </c>
      <c r="BI96" s="40" t="s">
        <v>125</v>
      </c>
      <c r="BJ96" s="40" t="s">
        <v>126</v>
      </c>
      <c r="BK96" s="40" t="s">
        <v>127</v>
      </c>
      <c r="BL96" s="40" t="s">
        <v>128</v>
      </c>
      <c r="BM96" s="40" t="s">
        <v>129</v>
      </c>
      <c r="BN96" s="40" t="s">
        <v>1415</v>
      </c>
      <c r="BO96" s="40" t="s">
        <v>1416</v>
      </c>
      <c r="BP96" s="47"/>
      <c r="BQ96" s="43" t="s">
        <v>106</v>
      </c>
      <c r="BR96" s="43"/>
      <c r="BS96" s="43" t="s">
        <v>106</v>
      </c>
      <c r="BT96" s="43"/>
      <c r="BU96" s="43"/>
      <c r="BV96" s="43"/>
      <c r="BW96" s="40"/>
      <c r="BX96" s="49"/>
      <c r="BY96" s="49"/>
    </row>
    <row r="97" spans="1:77" s="81" customFormat="1" ht="21.95" customHeight="1">
      <c r="A97" s="60">
        <v>1</v>
      </c>
      <c r="B97" s="77" t="s">
        <v>1302</v>
      </c>
      <c r="C97" s="41" t="s">
        <v>1283</v>
      </c>
      <c r="D97" s="42" t="s">
        <v>1417</v>
      </c>
      <c r="E97" s="42" t="s">
        <v>1418</v>
      </c>
      <c r="F97" s="43" t="s">
        <v>1419</v>
      </c>
      <c r="G97" s="43" t="s">
        <v>1420</v>
      </c>
      <c r="H97" s="43" t="s">
        <v>546</v>
      </c>
      <c r="I97" s="44" t="s">
        <v>1421</v>
      </c>
      <c r="J97" s="45" t="s">
        <v>738</v>
      </c>
      <c r="K97" s="45" t="s">
        <v>100</v>
      </c>
      <c r="L97" s="45" t="s">
        <v>738</v>
      </c>
      <c r="M97" s="45" t="s">
        <v>100</v>
      </c>
      <c r="N97" s="45" t="s">
        <v>738</v>
      </c>
      <c r="O97" s="46" t="s">
        <v>640</v>
      </c>
      <c r="P97" s="44" t="s">
        <v>1422</v>
      </c>
      <c r="Q97" s="40" t="s">
        <v>1423</v>
      </c>
      <c r="R97" s="44" t="s">
        <v>1424</v>
      </c>
      <c r="S97" s="42" t="s">
        <v>257</v>
      </c>
      <c r="T97" s="47" t="s">
        <v>106</v>
      </c>
      <c r="U97" s="47" t="s">
        <v>106</v>
      </c>
      <c r="V97" s="47"/>
      <c r="W97" s="47"/>
      <c r="X97" s="47"/>
      <c r="Y97" s="47" t="s">
        <v>106</v>
      </c>
      <c r="Z97" s="43" t="s">
        <v>107</v>
      </c>
      <c r="AA97" s="43" t="s">
        <v>108</v>
      </c>
      <c r="AB97" s="47" t="s">
        <v>106</v>
      </c>
      <c r="AC97" s="47" t="s">
        <v>106</v>
      </c>
      <c r="AD97" s="47"/>
      <c r="AE97" s="47" t="s">
        <v>106</v>
      </c>
      <c r="AF97" s="47" t="s">
        <v>106</v>
      </c>
      <c r="AG97" s="47" t="s">
        <v>106</v>
      </c>
      <c r="AH97" s="43" t="s">
        <v>106</v>
      </c>
      <c r="AI97" s="42" t="s">
        <v>1425</v>
      </c>
      <c r="AJ97" s="42" t="s">
        <v>278</v>
      </c>
      <c r="AK97" s="43" t="s">
        <v>1202</v>
      </c>
      <c r="AL97" s="43" t="s">
        <v>260</v>
      </c>
      <c r="AM97" s="43" t="s">
        <v>1426</v>
      </c>
      <c r="AN97" s="43" t="s">
        <v>701</v>
      </c>
      <c r="AO97" s="43" t="s">
        <v>115</v>
      </c>
      <c r="AP97" s="43" t="s">
        <v>701</v>
      </c>
      <c r="AQ97" s="43" t="s">
        <v>115</v>
      </c>
      <c r="AR97" s="43" t="s">
        <v>114</v>
      </c>
      <c r="AS97" s="43" t="s">
        <v>115</v>
      </c>
      <c r="AT97" s="43" t="s">
        <v>701</v>
      </c>
      <c r="AU97" s="43" t="s">
        <v>115</v>
      </c>
      <c r="AV97" s="48" t="s">
        <v>116</v>
      </c>
      <c r="AW97" s="40" t="s">
        <v>1427</v>
      </c>
      <c r="AX97" s="40" t="s">
        <v>1428</v>
      </c>
      <c r="AY97" s="43"/>
      <c r="AZ97" s="43"/>
      <c r="BA97" s="43" t="s">
        <v>106</v>
      </c>
      <c r="BB97" s="43"/>
      <c r="BC97" s="43" t="s">
        <v>1429</v>
      </c>
      <c r="BD97" s="43" t="s">
        <v>121</v>
      </c>
      <c r="BE97" s="43">
        <v>1</v>
      </c>
      <c r="BF97" s="49" t="s">
        <v>1430</v>
      </c>
      <c r="BG97" s="43" t="s">
        <v>1356</v>
      </c>
      <c r="BH97" s="40" t="s">
        <v>124</v>
      </c>
      <c r="BI97" s="40" t="s">
        <v>125</v>
      </c>
      <c r="BJ97" s="40" t="s">
        <v>126</v>
      </c>
      <c r="BK97" s="40" t="s">
        <v>127</v>
      </c>
      <c r="BL97" s="40" t="s">
        <v>128</v>
      </c>
      <c r="BM97" s="40" t="s">
        <v>129</v>
      </c>
      <c r="BN97" s="40" t="s">
        <v>1431</v>
      </c>
      <c r="BO97" s="40" t="s">
        <v>1432</v>
      </c>
      <c r="BP97" s="47"/>
      <c r="BQ97" s="43" t="s">
        <v>106</v>
      </c>
      <c r="BR97" s="43"/>
      <c r="BS97" s="43" t="s">
        <v>106</v>
      </c>
      <c r="BT97" s="43"/>
      <c r="BU97" s="43"/>
      <c r="BV97" s="43"/>
      <c r="BW97" s="40" t="s">
        <v>1433</v>
      </c>
      <c r="BX97" s="49" t="s">
        <v>1434</v>
      </c>
      <c r="BY97" s="49" t="s">
        <v>1435</v>
      </c>
    </row>
    <row r="98" spans="1:77" s="81" customFormat="1" ht="21.95" customHeight="1">
      <c r="A98" s="60">
        <v>2</v>
      </c>
      <c r="B98" s="77" t="s">
        <v>1302</v>
      </c>
      <c r="C98" s="41" t="s">
        <v>1283</v>
      </c>
      <c r="D98" s="42" t="s">
        <v>1436</v>
      </c>
      <c r="E98" s="42" t="s">
        <v>1437</v>
      </c>
      <c r="F98" s="43" t="s">
        <v>1438</v>
      </c>
      <c r="G98" s="43" t="s">
        <v>1439</v>
      </c>
      <c r="H98" s="43" t="s">
        <v>787</v>
      </c>
      <c r="I98" s="44" t="s">
        <v>1440</v>
      </c>
      <c r="J98" s="45" t="s">
        <v>100</v>
      </c>
      <c r="K98" s="45" t="s">
        <v>100</v>
      </c>
      <c r="L98" s="45" t="s">
        <v>100</v>
      </c>
      <c r="M98" s="45" t="s">
        <v>100</v>
      </c>
      <c r="N98" s="45" t="s">
        <v>100</v>
      </c>
      <c r="O98" s="46" t="s">
        <v>101</v>
      </c>
      <c r="P98" s="44" t="s">
        <v>1441</v>
      </c>
      <c r="Q98" s="40" t="s">
        <v>1442</v>
      </c>
      <c r="R98" s="44" t="s">
        <v>1443</v>
      </c>
      <c r="S98" s="42" t="s">
        <v>257</v>
      </c>
      <c r="T98" s="47"/>
      <c r="U98" s="47" t="s">
        <v>106</v>
      </c>
      <c r="V98" s="47"/>
      <c r="W98" s="47"/>
      <c r="X98" s="47" t="s">
        <v>106</v>
      </c>
      <c r="Y98" s="47"/>
      <c r="Z98" s="43" t="s">
        <v>107</v>
      </c>
      <c r="AA98" s="43" t="s">
        <v>108</v>
      </c>
      <c r="AB98" s="47" t="s">
        <v>106</v>
      </c>
      <c r="AC98" s="47" t="s">
        <v>106</v>
      </c>
      <c r="AD98" s="47"/>
      <c r="AE98" s="47"/>
      <c r="AF98" s="47"/>
      <c r="AG98" s="47" t="s">
        <v>106</v>
      </c>
      <c r="AH98" s="43"/>
      <c r="AI98" s="42" t="s">
        <v>1444</v>
      </c>
      <c r="AJ98" s="42" t="s">
        <v>697</v>
      </c>
      <c r="AK98" s="43" t="s">
        <v>111</v>
      </c>
      <c r="AL98" s="43" t="s">
        <v>699</v>
      </c>
      <c r="AM98" s="43" t="s">
        <v>111</v>
      </c>
      <c r="AN98" s="43" t="s">
        <v>115</v>
      </c>
      <c r="AO98" s="43" t="s">
        <v>115</v>
      </c>
      <c r="AP98" s="43" t="s">
        <v>115</v>
      </c>
      <c r="AQ98" s="43" t="s">
        <v>114</v>
      </c>
      <c r="AR98" s="43" t="s">
        <v>114</v>
      </c>
      <c r="AS98" s="43" t="s">
        <v>701</v>
      </c>
      <c r="AT98" s="43" t="s">
        <v>115</v>
      </c>
      <c r="AU98" s="43" t="s">
        <v>115</v>
      </c>
      <c r="AV98" s="48" t="s">
        <v>116</v>
      </c>
      <c r="AW98" s="40" t="s">
        <v>1445</v>
      </c>
      <c r="AX98" s="40" t="s">
        <v>1445</v>
      </c>
      <c r="AY98" s="43"/>
      <c r="AZ98" s="43"/>
      <c r="BA98" s="43" t="s">
        <v>106</v>
      </c>
      <c r="BB98" s="43"/>
      <c r="BC98" s="43" t="s">
        <v>1446</v>
      </c>
      <c r="BD98" s="43" t="s">
        <v>176</v>
      </c>
      <c r="BE98" s="43">
        <v>2</v>
      </c>
      <c r="BF98" s="49" t="s">
        <v>1447</v>
      </c>
      <c r="BG98" s="43" t="s">
        <v>1277</v>
      </c>
      <c r="BH98" s="40" t="s">
        <v>124</v>
      </c>
      <c r="BI98" s="40" t="s">
        <v>125</v>
      </c>
      <c r="BJ98" s="40" t="s">
        <v>126</v>
      </c>
      <c r="BK98" s="40" t="s">
        <v>127</v>
      </c>
      <c r="BL98" s="40" t="s">
        <v>128</v>
      </c>
      <c r="BM98" s="40" t="s">
        <v>129</v>
      </c>
      <c r="BN98" s="40" t="s">
        <v>1448</v>
      </c>
      <c r="BO98" s="40" t="s">
        <v>1449</v>
      </c>
      <c r="BP98" s="47"/>
      <c r="BQ98" s="43" t="s">
        <v>106</v>
      </c>
      <c r="BR98" s="43"/>
      <c r="BS98" s="43" t="s">
        <v>106</v>
      </c>
      <c r="BT98" s="43"/>
      <c r="BU98" s="43"/>
      <c r="BV98" s="43"/>
      <c r="BW98" s="40"/>
      <c r="BX98" s="49"/>
      <c r="BY98" s="49"/>
    </row>
    <row r="99" spans="1:77" s="84" customFormat="1" ht="21.95" customHeight="1">
      <c r="A99" s="80">
        <v>2</v>
      </c>
      <c r="B99" s="76" t="s">
        <v>1450</v>
      </c>
      <c r="C99" s="30" t="s">
        <v>1451</v>
      </c>
      <c r="D99" s="31" t="s">
        <v>1452</v>
      </c>
      <c r="E99" s="31" t="s">
        <v>1453</v>
      </c>
      <c r="F99" s="32" t="s">
        <v>1454</v>
      </c>
      <c r="G99" s="32" t="s">
        <v>1455</v>
      </c>
      <c r="H99" s="32" t="s">
        <v>1497</v>
      </c>
      <c r="I99" s="33" t="s">
        <v>1456</v>
      </c>
      <c r="J99" s="34" t="s">
        <v>100</v>
      </c>
      <c r="K99" s="34" t="s">
        <v>738</v>
      </c>
      <c r="L99" s="34" t="s">
        <v>100</v>
      </c>
      <c r="M99" s="34" t="s">
        <v>100</v>
      </c>
      <c r="N99" s="34" t="s">
        <v>100</v>
      </c>
      <c r="O99" s="35" t="s">
        <v>101</v>
      </c>
      <c r="P99" s="33" t="s">
        <v>1457</v>
      </c>
      <c r="Q99" s="36" t="s">
        <v>1458</v>
      </c>
      <c r="R99" s="33" t="s">
        <v>1459</v>
      </c>
      <c r="S99" s="31" t="s">
        <v>257</v>
      </c>
      <c r="T99" s="37"/>
      <c r="U99" s="37"/>
      <c r="V99" s="37"/>
      <c r="W99" s="37" t="s">
        <v>106</v>
      </c>
      <c r="X99" s="37" t="s">
        <v>106</v>
      </c>
      <c r="Y99" s="37"/>
      <c r="Z99" s="32" t="s">
        <v>107</v>
      </c>
      <c r="AA99" s="32" t="s">
        <v>108</v>
      </c>
      <c r="AB99" s="37" t="s">
        <v>106</v>
      </c>
      <c r="AC99" s="37" t="s">
        <v>106</v>
      </c>
      <c r="AD99" s="37"/>
      <c r="AE99" s="37" t="s">
        <v>106</v>
      </c>
      <c r="AF99" s="37" t="s">
        <v>106</v>
      </c>
      <c r="AG99" s="37" t="s">
        <v>106</v>
      </c>
      <c r="AH99" s="32" t="s">
        <v>106</v>
      </c>
      <c r="AI99" s="31" t="s">
        <v>1310</v>
      </c>
      <c r="AJ99" s="31" t="s">
        <v>697</v>
      </c>
      <c r="AK99" s="32" t="s">
        <v>111</v>
      </c>
      <c r="AL99" s="32" t="s">
        <v>625</v>
      </c>
      <c r="AM99" s="32" t="s">
        <v>111</v>
      </c>
      <c r="AN99" s="32" t="s">
        <v>115</v>
      </c>
      <c r="AO99" s="32" t="s">
        <v>115</v>
      </c>
      <c r="AP99" s="32" t="s">
        <v>701</v>
      </c>
      <c r="AQ99" s="32" t="s">
        <v>701</v>
      </c>
      <c r="AR99" s="32" t="s">
        <v>114</v>
      </c>
      <c r="AS99" s="32" t="s">
        <v>115</v>
      </c>
      <c r="AT99" s="32" t="s">
        <v>115</v>
      </c>
      <c r="AU99" s="32" t="s">
        <v>115</v>
      </c>
      <c r="AV99" s="38" t="s">
        <v>116</v>
      </c>
      <c r="AW99" s="36" t="s">
        <v>1460</v>
      </c>
      <c r="AX99" s="36" t="s">
        <v>1460</v>
      </c>
      <c r="AY99" s="32" t="s">
        <v>106</v>
      </c>
      <c r="AZ99" s="32"/>
      <c r="BA99" s="32"/>
      <c r="BB99" s="32" t="s">
        <v>106</v>
      </c>
      <c r="BC99" s="32" t="s">
        <v>1461</v>
      </c>
      <c r="BD99" s="32" t="s">
        <v>121</v>
      </c>
      <c r="BE99" s="32">
        <v>2</v>
      </c>
      <c r="BF99" s="39" t="s">
        <v>1462</v>
      </c>
      <c r="BG99" s="32" t="s">
        <v>1463</v>
      </c>
      <c r="BH99" s="36" t="s">
        <v>124</v>
      </c>
      <c r="BI99" s="36" t="s">
        <v>125</v>
      </c>
      <c r="BJ99" s="36" t="s">
        <v>126</v>
      </c>
      <c r="BK99" s="36" t="s">
        <v>127</v>
      </c>
      <c r="BL99" s="36" t="s">
        <v>128</v>
      </c>
      <c r="BM99" s="36" t="s">
        <v>129</v>
      </c>
      <c r="BN99" s="36" t="s">
        <v>1464</v>
      </c>
      <c r="BO99" s="36" t="s">
        <v>1465</v>
      </c>
      <c r="BP99" s="37"/>
      <c r="BQ99" s="32" t="s">
        <v>106</v>
      </c>
      <c r="BR99" s="32"/>
      <c r="BS99" s="32" t="s">
        <v>106</v>
      </c>
      <c r="BT99" s="32"/>
      <c r="BU99" s="32"/>
      <c r="BV99" s="32"/>
      <c r="BW99" s="36"/>
      <c r="BX99" s="39"/>
      <c r="BY99" s="39"/>
    </row>
    <row r="100" spans="1:77" s="84" customFormat="1" ht="21.95" customHeight="1">
      <c r="A100" s="80">
        <v>2</v>
      </c>
      <c r="B100" s="76" t="s">
        <v>1450</v>
      </c>
      <c r="C100" s="30" t="s">
        <v>1451</v>
      </c>
      <c r="D100" s="31" t="s">
        <v>1452</v>
      </c>
      <c r="E100" s="31" t="s">
        <v>1453</v>
      </c>
      <c r="F100" s="32" t="s">
        <v>1466</v>
      </c>
      <c r="G100" s="32" t="s">
        <v>1467</v>
      </c>
      <c r="H100" s="32" t="s">
        <v>98</v>
      </c>
      <c r="I100" s="33" t="s">
        <v>1468</v>
      </c>
      <c r="J100" s="34" t="s">
        <v>100</v>
      </c>
      <c r="K100" s="34" t="s">
        <v>100</v>
      </c>
      <c r="L100" s="34" t="s">
        <v>100</v>
      </c>
      <c r="M100" s="34" t="s">
        <v>100</v>
      </c>
      <c r="N100" s="34" t="s">
        <v>100</v>
      </c>
      <c r="O100" s="35" t="s">
        <v>101</v>
      </c>
      <c r="P100" s="33" t="s">
        <v>1469</v>
      </c>
      <c r="Q100" s="36" t="s">
        <v>1470</v>
      </c>
      <c r="R100" s="33" t="s">
        <v>1471</v>
      </c>
      <c r="S100" s="31" t="s">
        <v>257</v>
      </c>
      <c r="T100" s="37"/>
      <c r="U100" s="37" t="s">
        <v>106</v>
      </c>
      <c r="V100" s="37"/>
      <c r="W100" s="37" t="s">
        <v>106</v>
      </c>
      <c r="X100" s="37" t="s">
        <v>106</v>
      </c>
      <c r="Y100" s="37"/>
      <c r="Z100" s="32" t="s">
        <v>107</v>
      </c>
      <c r="AA100" s="32" t="s">
        <v>108</v>
      </c>
      <c r="AB100" s="37" t="s">
        <v>106</v>
      </c>
      <c r="AC100" s="37" t="s">
        <v>106</v>
      </c>
      <c r="AD100" s="37" t="s">
        <v>106</v>
      </c>
      <c r="AE100" s="37"/>
      <c r="AF100" s="37"/>
      <c r="AG100" s="37" t="s">
        <v>106</v>
      </c>
      <c r="AH100" s="32"/>
      <c r="AI100" s="31" t="s">
        <v>1310</v>
      </c>
      <c r="AJ100" s="31" t="s">
        <v>695</v>
      </c>
      <c r="AK100" s="32" t="s">
        <v>111</v>
      </c>
      <c r="AL100" s="32" t="s">
        <v>260</v>
      </c>
      <c r="AM100" s="32" t="s">
        <v>111</v>
      </c>
      <c r="AN100" s="32" t="s">
        <v>115</v>
      </c>
      <c r="AO100" s="32" t="s">
        <v>115</v>
      </c>
      <c r="AP100" s="32" t="s">
        <v>114</v>
      </c>
      <c r="AQ100" s="32" t="s">
        <v>114</v>
      </c>
      <c r="AR100" s="32" t="s">
        <v>114</v>
      </c>
      <c r="AS100" s="32" t="s">
        <v>115</v>
      </c>
      <c r="AT100" s="32" t="s">
        <v>115</v>
      </c>
      <c r="AU100" s="32" t="s">
        <v>115</v>
      </c>
      <c r="AV100" s="38" t="s">
        <v>116</v>
      </c>
      <c r="AW100" s="36" t="s">
        <v>1472</v>
      </c>
      <c r="AX100" s="36" t="s">
        <v>1472</v>
      </c>
      <c r="AY100" s="32"/>
      <c r="AZ100" s="32"/>
      <c r="BA100" s="32" t="s">
        <v>106</v>
      </c>
      <c r="BB100" s="32"/>
      <c r="BC100" s="32" t="s">
        <v>1473</v>
      </c>
      <c r="BD100" s="32" t="s">
        <v>121</v>
      </c>
      <c r="BE100" s="32">
        <v>2</v>
      </c>
      <c r="BF100" s="39" t="s">
        <v>1474</v>
      </c>
      <c r="BG100" s="32" t="s">
        <v>1463</v>
      </c>
      <c r="BH100" s="36" t="s">
        <v>124</v>
      </c>
      <c r="BI100" s="36" t="s">
        <v>125</v>
      </c>
      <c r="BJ100" s="36" t="s">
        <v>126</v>
      </c>
      <c r="BK100" s="36" t="s">
        <v>127</v>
      </c>
      <c r="BL100" s="36" t="s">
        <v>128</v>
      </c>
      <c r="BM100" s="36" t="s">
        <v>129</v>
      </c>
      <c r="BN100" s="36" t="s">
        <v>1475</v>
      </c>
      <c r="BO100" s="36" t="s">
        <v>1476</v>
      </c>
      <c r="BP100" s="37"/>
      <c r="BQ100" s="32" t="s">
        <v>106</v>
      </c>
      <c r="BR100" s="32"/>
      <c r="BS100" s="32" t="s">
        <v>106</v>
      </c>
      <c r="BT100" s="32"/>
      <c r="BU100" s="32"/>
      <c r="BV100" s="32"/>
      <c r="BW100" s="36"/>
      <c r="BX100" s="39"/>
      <c r="BY100" s="39"/>
    </row>
  </sheetData>
  <autoFilter ref="A5:BY100"/>
  <mergeCells count="35">
    <mergeCell ref="AM6:AM7"/>
    <mergeCell ref="AB6:AH7"/>
    <mergeCell ref="A6:A7"/>
    <mergeCell ref="BP6:BQ7"/>
    <mergeCell ref="BR6:BV7"/>
    <mergeCell ref="BW6:BY6"/>
    <mergeCell ref="AY7:BB7"/>
    <mergeCell ref="AV6:AV7"/>
    <mergeCell ref="AW6:AW7"/>
    <mergeCell ref="AX6:AX7"/>
    <mergeCell ref="AY6:BF6"/>
    <mergeCell ref="BG6:BG7"/>
    <mergeCell ref="BH6:BO6"/>
    <mergeCell ref="AI6:AI7"/>
    <mergeCell ref="AJ6:AJ7"/>
    <mergeCell ref="AK6:AK7"/>
    <mergeCell ref="AL6:AL7"/>
    <mergeCell ref="B6:B7"/>
    <mergeCell ref="C6:C7"/>
    <mergeCell ref="D6:D7"/>
    <mergeCell ref="E6:E7"/>
    <mergeCell ref="F6:F7"/>
    <mergeCell ref="P6:P7"/>
    <mergeCell ref="D2:E2"/>
    <mergeCell ref="G6:G7"/>
    <mergeCell ref="H6:H7"/>
    <mergeCell ref="I6:I7"/>
    <mergeCell ref="J6:N7"/>
    <mergeCell ref="O6:O7"/>
    <mergeCell ref="AN6:AU7"/>
    <mergeCell ref="Q6:Q7"/>
    <mergeCell ref="R6:R7"/>
    <mergeCell ref="S6:S7"/>
    <mergeCell ref="T6:Y7"/>
    <mergeCell ref="Z6:AA7"/>
  </mergeCells>
  <phoneticPr fontId="2" type="noConversion"/>
  <conditionalFormatting sqref="K5:K6">
    <cfRule type="containsText" dxfId="0" priority="1" operator="containsText" text="high">
      <formula>NOT(ISERROR(SEARCH("high",K5)))</formula>
    </cfRule>
  </conditionalFormatting>
  <dataValidations disablePrompts="1" count="6">
    <dataValidation type="list" allowBlank="1" showInputMessage="1" showErrorMessage="1" sqref="Z8:Z100">
      <formula1>"P,D"</formula1>
    </dataValidation>
    <dataValidation type="list" allowBlank="1" showInputMessage="1" showErrorMessage="1" sqref="AA8:AA73 AA87:AA98">
      <formula1>"A,M"</formula1>
    </dataValidation>
    <dataValidation type="list" allowBlank="1" showInputMessage="1" showErrorMessage="1" sqref="T8:T22 X12 X8 Y8:Y70 AD53:AD58 W58:X58 AG53:AG54 AB54:AC54 AF58:AG58 T57:V57 T58:U58 AB56:AC58 AB53 T72:Y72 Y73:Y86 T74:X86 Y94 Y96:Y98 T99:Y100">
      <formula1>"O,X"</formula1>
    </dataValidation>
    <dataValidation type="list" allowBlank="1" showInputMessage="1" showErrorMessage="1" sqref="AY45:BB73 AB8:AH66 AD70:AF70 AH67:AH68 AD67:AF67 AH70:AH73 AB72:AD73 AE71:AF73 AG72:AG86 AB74:AE74 AB75:AF86 AH75:AH86 AG79:AH83 AD87:AD88 AC88 AB87:AB88 AE88:AE89 AG88:AH88 AY87:BB98 AF89:AF90 AG91 AH89 AE91:AE94 AF92:AF93 AB91 AG94:AG96 AD90 AC94 AD95:AD98 AH92:AH93 AH96 AB96:AC96 AE96:AF96 AH98:AH99 AE98:AF98 AF100">
      <formula1>"O,"</formula1>
    </dataValidation>
    <dataValidation type="list" allowBlank="1" showInputMessage="1" showErrorMessage="1" sqref="J8:N100">
      <formula1>"Low, high, ,"</formula1>
    </dataValidation>
    <dataValidation type="list" allowBlank="1" showInputMessage="1" showErrorMessage="1" sqref="AA72 AA74:AA86 AA96 AA99:AA100">
      <formula1>"M,A(Input Processing Output),A(Calculation),A(Application Access)"</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C7:S34"/>
  <sheetViews>
    <sheetView topLeftCell="A28" zoomScale="85" zoomScaleNormal="85" workbookViewId="0">
      <selection activeCell="L45" sqref="L45"/>
    </sheetView>
  </sheetViews>
  <sheetFormatPr defaultRowHeight="16.5"/>
  <cols>
    <col min="1" max="2" width="9" style="88"/>
    <col min="3" max="3" width="10.25" style="88" customWidth="1"/>
    <col min="4" max="4" width="16.5" style="88" bestFit="1" customWidth="1"/>
    <col min="5" max="8" width="9.625" style="88" customWidth="1"/>
    <col min="9" max="9" width="45.75" style="88" bestFit="1" customWidth="1"/>
    <col min="10" max="13" width="9" style="88"/>
    <col min="14" max="14" width="45.375" style="88" bestFit="1" customWidth="1"/>
    <col min="15" max="16384" width="9" style="88"/>
  </cols>
  <sheetData>
    <row r="7" spans="3:19" s="86" customFormat="1" ht="16.5" customHeight="1">
      <c r="C7" s="179" t="s">
        <v>1503</v>
      </c>
      <c r="D7" s="179" t="s">
        <v>1504</v>
      </c>
      <c r="E7" s="177" t="s">
        <v>1505</v>
      </c>
      <c r="F7" s="188" t="s">
        <v>1506</v>
      </c>
      <c r="G7" s="189"/>
      <c r="H7" s="190"/>
      <c r="I7" s="179" t="s">
        <v>1510</v>
      </c>
      <c r="K7" s="179" t="s">
        <v>1503</v>
      </c>
      <c r="L7" s="179" t="s">
        <v>1504</v>
      </c>
      <c r="M7" s="177" t="s">
        <v>1505</v>
      </c>
      <c r="N7" s="93" t="s">
        <v>1506</v>
      </c>
      <c r="O7" s="93"/>
      <c r="P7" s="93"/>
      <c r="Q7" s="101"/>
      <c r="R7" s="101"/>
      <c r="S7" s="179" t="s">
        <v>1510</v>
      </c>
    </row>
    <row r="8" spans="3:19" s="86" customFormat="1">
      <c r="C8" s="180"/>
      <c r="D8" s="180"/>
      <c r="E8" s="178"/>
      <c r="F8" s="94" t="s">
        <v>1507</v>
      </c>
      <c r="G8" s="94" t="s">
        <v>1508</v>
      </c>
      <c r="H8" s="105" t="s">
        <v>1529</v>
      </c>
      <c r="I8" s="180"/>
      <c r="K8" s="180"/>
      <c r="L8" s="180"/>
      <c r="M8" s="178"/>
      <c r="N8" s="94" t="s">
        <v>72</v>
      </c>
      <c r="O8" s="94" t="s">
        <v>1508</v>
      </c>
      <c r="P8" s="94" t="s">
        <v>1509</v>
      </c>
      <c r="Q8" s="98" t="s">
        <v>1523</v>
      </c>
      <c r="R8" s="98" t="s">
        <v>1524</v>
      </c>
      <c r="S8" s="180"/>
    </row>
    <row r="9" spans="3:19" ht="20.100000000000001" customHeight="1">
      <c r="C9" s="181" t="s">
        <v>1526</v>
      </c>
      <c r="D9" s="87" t="s">
        <v>576</v>
      </c>
      <c r="E9" s="91">
        <f>COUNTIF(Sheet1!$C:$C,Sheet2!D9)</f>
        <v>8</v>
      </c>
      <c r="F9" s="91">
        <f>E9</f>
        <v>8</v>
      </c>
      <c r="G9" s="91">
        <f>SUMIF(Sheet1!$C:$C,Sheet2!D9,Sheet1!$A:$A)</f>
        <v>37</v>
      </c>
      <c r="H9" s="91">
        <f>G9</f>
        <v>37</v>
      </c>
      <c r="I9" s="97" t="s">
        <v>1513</v>
      </c>
      <c r="K9" s="181" t="s">
        <v>1526</v>
      </c>
      <c r="L9" s="87" t="s">
        <v>576</v>
      </c>
      <c r="M9" s="91">
        <f>COUNTIF(Sheet1!$C:$C,Sheet2!L9)</f>
        <v>8</v>
      </c>
      <c r="N9" s="91">
        <f t="shared" ref="N9:N14" si="0">M9</f>
        <v>8</v>
      </c>
      <c r="O9" s="91">
        <f>SUMIF(Sheet1!$C:$C,Sheet2!L9,Sheet1!$A:$A)</f>
        <v>37</v>
      </c>
      <c r="P9" s="91">
        <f t="shared" ref="P9:P14" si="1">O9</f>
        <v>37</v>
      </c>
      <c r="Q9" s="91">
        <v>0</v>
      </c>
      <c r="R9" s="91">
        <v>1</v>
      </c>
      <c r="S9" s="97"/>
    </row>
    <row r="10" spans="3:19" ht="20.100000000000001" customHeight="1">
      <c r="C10" s="184"/>
      <c r="D10" s="89" t="s">
        <v>732</v>
      </c>
      <c r="E10" s="91">
        <f>COUNTIF(Sheet1!$C:$C,Sheet2!D10)</f>
        <v>14</v>
      </c>
      <c r="F10" s="91">
        <f t="shared" ref="F10:F17" si="2">E10</f>
        <v>14</v>
      </c>
      <c r="G10" s="91">
        <f>SUMIF(Sheet1!$C:$C,Sheet2!D10,Sheet1!$A:$A)</f>
        <v>41</v>
      </c>
      <c r="H10" s="91">
        <f t="shared" ref="H10:H17" si="3">G10</f>
        <v>41</v>
      </c>
      <c r="I10" s="97" t="s">
        <v>1514</v>
      </c>
      <c r="K10" s="182"/>
      <c r="L10" s="89" t="s">
        <v>732</v>
      </c>
      <c r="M10" s="91">
        <f>COUNTIF(Sheet1!$C:$C,Sheet2!L10)</f>
        <v>14</v>
      </c>
      <c r="N10" s="91">
        <f t="shared" si="0"/>
        <v>14</v>
      </c>
      <c r="O10" s="91">
        <f>SUMIF(Sheet1!$C:$C,Sheet2!L10,Sheet1!$A:$A)</f>
        <v>41</v>
      </c>
      <c r="P10" s="91">
        <f t="shared" si="1"/>
        <v>41</v>
      </c>
      <c r="Q10" s="91">
        <v>0</v>
      </c>
      <c r="R10" s="91">
        <v>0</v>
      </c>
      <c r="S10" s="97"/>
    </row>
    <row r="11" spans="3:19" ht="20.100000000000001" customHeight="1">
      <c r="C11" s="184"/>
      <c r="D11" s="87" t="s">
        <v>953</v>
      </c>
      <c r="E11" s="91">
        <f>COUNTIF(Sheet1!$C:$C,Sheet2!D11)</f>
        <v>10</v>
      </c>
      <c r="F11" s="91">
        <f t="shared" si="2"/>
        <v>10</v>
      </c>
      <c r="G11" s="91">
        <f>SUMIF(Sheet1!$C:$C,Sheet2!D11,Sheet1!$A:$A)</f>
        <v>17</v>
      </c>
      <c r="H11" s="91">
        <f t="shared" si="3"/>
        <v>17</v>
      </c>
      <c r="I11" s="97" t="s">
        <v>1516</v>
      </c>
      <c r="K11" s="182"/>
      <c r="L11" s="87" t="s">
        <v>953</v>
      </c>
      <c r="M11" s="91">
        <f>COUNTIF(Sheet1!$C:$C,Sheet2!L11)</f>
        <v>10</v>
      </c>
      <c r="N11" s="91">
        <f t="shared" si="0"/>
        <v>10</v>
      </c>
      <c r="O11" s="91">
        <f>SUMIF(Sheet1!$C:$C,Sheet2!L11,Sheet1!$A:$A)</f>
        <v>17</v>
      </c>
      <c r="P11" s="91">
        <f t="shared" si="1"/>
        <v>17</v>
      </c>
      <c r="Q11" s="91">
        <v>0</v>
      </c>
      <c r="R11" s="91">
        <v>2</v>
      </c>
      <c r="S11" s="99" t="s">
        <v>1525</v>
      </c>
    </row>
    <row r="12" spans="3:19" ht="20.100000000000001" customHeight="1">
      <c r="C12" s="184"/>
      <c r="D12" s="87" t="s">
        <v>1098</v>
      </c>
      <c r="E12" s="91">
        <f>COUNTIF(Sheet1!$C:$C,Sheet2!D12)</f>
        <v>7</v>
      </c>
      <c r="F12" s="91">
        <f t="shared" si="2"/>
        <v>7</v>
      </c>
      <c r="G12" s="91">
        <f>SUMIF(Sheet1!$C:$C,Sheet2!D12,Sheet1!$A:$A)</f>
        <v>11</v>
      </c>
      <c r="H12" s="91">
        <f t="shared" si="3"/>
        <v>11</v>
      </c>
      <c r="I12" s="97" t="s">
        <v>1515</v>
      </c>
      <c r="K12" s="182"/>
      <c r="L12" s="87" t="s">
        <v>1098</v>
      </c>
      <c r="M12" s="91">
        <f>COUNTIF(Sheet1!$C:$C,Sheet2!L12)</f>
        <v>7</v>
      </c>
      <c r="N12" s="91">
        <f t="shared" si="0"/>
        <v>7</v>
      </c>
      <c r="O12" s="91">
        <f>SUMIF(Sheet1!$C:$C,Sheet2!L12,Sheet1!$A:$A)</f>
        <v>11</v>
      </c>
      <c r="P12" s="91">
        <f t="shared" si="1"/>
        <v>11</v>
      </c>
      <c r="Q12" s="91">
        <v>0</v>
      </c>
      <c r="R12" s="91">
        <v>3</v>
      </c>
      <c r="S12" s="97"/>
    </row>
    <row r="13" spans="3:19" ht="20.100000000000001" customHeight="1">
      <c r="C13" s="184"/>
      <c r="D13" s="87" t="s">
        <v>1214</v>
      </c>
      <c r="E13" s="91">
        <f>COUNTIF(Sheet1!$C:$C,Sheet2!D13)</f>
        <v>3</v>
      </c>
      <c r="F13" s="91">
        <f t="shared" si="2"/>
        <v>3</v>
      </c>
      <c r="G13" s="91">
        <f>SUMIF(Sheet1!$C:$C,Sheet2!D13,Sheet1!$A:$A)</f>
        <v>13</v>
      </c>
      <c r="H13" s="91">
        <f t="shared" si="3"/>
        <v>13</v>
      </c>
      <c r="I13" s="97" t="s">
        <v>1517</v>
      </c>
      <c r="K13" s="182"/>
      <c r="L13" s="87" t="s">
        <v>1214</v>
      </c>
      <c r="M13" s="91">
        <f>COUNTIF(Sheet1!$C:$C,Sheet2!L13)</f>
        <v>3</v>
      </c>
      <c r="N13" s="91">
        <f t="shared" si="0"/>
        <v>3</v>
      </c>
      <c r="O13" s="91">
        <f>SUMIF(Sheet1!$C:$C,Sheet2!L13,Sheet1!$A:$A)</f>
        <v>13</v>
      </c>
      <c r="P13" s="91">
        <f t="shared" si="1"/>
        <v>13</v>
      </c>
      <c r="Q13" s="91">
        <v>0</v>
      </c>
      <c r="R13" s="91">
        <v>0</v>
      </c>
      <c r="S13" s="97"/>
    </row>
    <row r="14" spans="3:19" ht="20.100000000000001" customHeight="1">
      <c r="C14" s="185"/>
      <c r="D14" s="87" t="s">
        <v>1263</v>
      </c>
      <c r="E14" s="91">
        <f>COUNTIF(Sheet1!$C:$C,Sheet2!D14)</f>
        <v>12</v>
      </c>
      <c r="F14" s="91">
        <f t="shared" si="2"/>
        <v>12</v>
      </c>
      <c r="G14" s="91">
        <f>SUMIF(Sheet1!$C:$C,Sheet2!D14,Sheet1!$A:$A)</f>
        <v>37</v>
      </c>
      <c r="H14" s="91">
        <f t="shared" si="3"/>
        <v>37</v>
      </c>
      <c r="I14" s="97" t="s">
        <v>1520</v>
      </c>
      <c r="K14" s="183"/>
      <c r="L14" s="87" t="s">
        <v>1263</v>
      </c>
      <c r="M14" s="91">
        <f>COUNTIF(Sheet1!$C:$C,Sheet2!L14)</f>
        <v>12</v>
      </c>
      <c r="N14" s="91">
        <f t="shared" si="0"/>
        <v>12</v>
      </c>
      <c r="O14" s="91">
        <f>SUMIF(Sheet1!$C:$C,Sheet2!L14,Sheet1!$A:$A)</f>
        <v>37</v>
      </c>
      <c r="P14" s="91">
        <f t="shared" si="1"/>
        <v>37</v>
      </c>
      <c r="Q14" s="91">
        <v>0</v>
      </c>
      <c r="R14" s="91">
        <v>0</v>
      </c>
      <c r="S14" s="97"/>
    </row>
    <row r="15" spans="3:19" ht="20.100000000000001" customHeight="1">
      <c r="C15" s="160" t="s">
        <v>1511</v>
      </c>
      <c r="D15" s="161"/>
      <c r="E15" s="96">
        <f>SUM(E9:E14)</f>
        <v>54</v>
      </c>
      <c r="F15" s="96">
        <f t="shared" ref="F15:H15" si="4">SUM(F9:F14)</f>
        <v>54</v>
      </c>
      <c r="G15" s="96">
        <f t="shared" si="4"/>
        <v>156</v>
      </c>
      <c r="H15" s="96">
        <f t="shared" si="4"/>
        <v>156</v>
      </c>
      <c r="I15" s="95"/>
      <c r="K15" s="160" t="s">
        <v>1511</v>
      </c>
      <c r="L15" s="161"/>
      <c r="M15" s="96">
        <f>SUM(M9:M14)</f>
        <v>54</v>
      </c>
      <c r="N15" s="96">
        <f>SUM(N9:N14)</f>
        <v>54</v>
      </c>
      <c r="O15" s="96">
        <f>SUM(O9:O14)</f>
        <v>156</v>
      </c>
      <c r="P15" s="96">
        <f>SUM(P9:P14)</f>
        <v>156</v>
      </c>
      <c r="Q15" s="96"/>
      <c r="R15" s="96"/>
      <c r="S15" s="95"/>
    </row>
    <row r="16" spans="3:19" ht="20.100000000000001" customHeight="1">
      <c r="C16" s="186" t="s">
        <v>93</v>
      </c>
      <c r="D16" s="187"/>
      <c r="E16" s="91">
        <f>COUNTIF(Sheet1!$C:$C,Sheet2!C16)</f>
        <v>37</v>
      </c>
      <c r="F16" s="91">
        <f t="shared" si="2"/>
        <v>37</v>
      </c>
      <c r="G16" s="91">
        <f>SUMIF(Sheet1!$C:$C,Sheet2!C16,Sheet1!$A:$A)</f>
        <v>37</v>
      </c>
      <c r="H16" s="91">
        <f t="shared" si="3"/>
        <v>37</v>
      </c>
      <c r="I16" s="97" t="s">
        <v>1518</v>
      </c>
      <c r="K16" s="90" t="s">
        <v>93</v>
      </c>
      <c r="L16" s="92"/>
      <c r="M16" s="91">
        <f>COUNTIF(Sheet1!$C:$C,Sheet2!K16)</f>
        <v>37</v>
      </c>
      <c r="N16" s="91">
        <f>M16</f>
        <v>37</v>
      </c>
      <c r="O16" s="91">
        <f>SUMIF(Sheet1!$C:$C,Sheet2!K16,Sheet1!$A:$A)</f>
        <v>37</v>
      </c>
      <c r="P16" s="91">
        <f>O16</f>
        <v>37</v>
      </c>
      <c r="Q16" s="91">
        <v>0</v>
      </c>
      <c r="R16" s="91">
        <v>0</v>
      </c>
      <c r="S16" s="97"/>
    </row>
    <row r="17" spans="3:19" ht="20.100000000000001" customHeight="1">
      <c r="C17" s="186" t="s">
        <v>1451</v>
      </c>
      <c r="D17" s="187"/>
      <c r="E17" s="91">
        <f>COUNTIF(Sheet1!$C:$C,Sheet2!C17)</f>
        <v>2</v>
      </c>
      <c r="F17" s="91">
        <f t="shared" si="2"/>
        <v>2</v>
      </c>
      <c r="G17" s="91">
        <f>SUMIF(Sheet1!$C:$C,Sheet2!C17,Sheet1!$A:$A)</f>
        <v>4</v>
      </c>
      <c r="H17" s="91">
        <f t="shared" si="3"/>
        <v>4</v>
      </c>
      <c r="I17" s="97" t="s">
        <v>1519</v>
      </c>
      <c r="K17" s="90" t="s">
        <v>1451</v>
      </c>
      <c r="L17" s="92"/>
      <c r="M17" s="91">
        <f>COUNTIF(Sheet1!$C:$C,Sheet2!K17)</f>
        <v>2</v>
      </c>
      <c r="N17" s="91">
        <f>M17</f>
        <v>2</v>
      </c>
      <c r="O17" s="91">
        <f>SUMIF(Sheet1!$C:$C,Sheet2!K17,Sheet1!$A:$A)</f>
        <v>4</v>
      </c>
      <c r="P17" s="91">
        <f>O17</f>
        <v>4</v>
      </c>
      <c r="Q17" s="91">
        <v>0</v>
      </c>
      <c r="R17" s="91">
        <v>0</v>
      </c>
      <c r="S17" s="97"/>
    </row>
    <row r="18" spans="3:19" ht="20.100000000000001" customHeight="1">
      <c r="C18" s="162" t="s">
        <v>1512</v>
      </c>
      <c r="D18" s="163"/>
      <c r="E18" s="96">
        <f>SUM(E15:E17)</f>
        <v>93</v>
      </c>
      <c r="F18" s="96">
        <f t="shared" ref="F18:H18" si="5">SUM(F15:F17)</f>
        <v>93</v>
      </c>
      <c r="G18" s="96">
        <f t="shared" si="5"/>
        <v>197</v>
      </c>
      <c r="H18" s="96">
        <f t="shared" si="5"/>
        <v>197</v>
      </c>
      <c r="I18" s="96"/>
      <c r="K18" s="162" t="s">
        <v>1512</v>
      </c>
      <c r="L18" s="163"/>
      <c r="M18" s="96">
        <f>SUM(M15:M17)</f>
        <v>93</v>
      </c>
      <c r="N18" s="96">
        <f t="shared" ref="N18:P18" si="6">SUM(N15:N17)</f>
        <v>93</v>
      </c>
      <c r="O18" s="96">
        <f t="shared" si="6"/>
        <v>197</v>
      </c>
      <c r="P18" s="96">
        <f t="shared" si="6"/>
        <v>197</v>
      </c>
      <c r="Q18" s="96"/>
      <c r="R18" s="96"/>
      <c r="S18" s="96"/>
    </row>
    <row r="19" spans="3:19">
      <c r="K19" s="100" t="s">
        <v>1521</v>
      </c>
      <c r="L19" s="100"/>
      <c r="M19" s="100"/>
      <c r="N19" s="100"/>
      <c r="O19" s="100"/>
    </row>
    <row r="20" spans="3:19">
      <c r="K20" s="100" t="s">
        <v>1522</v>
      </c>
      <c r="L20" s="100"/>
      <c r="M20" s="100"/>
      <c r="N20" s="100"/>
      <c r="O20" s="100"/>
    </row>
    <row r="22" spans="3:19" ht="16.5" customHeight="1"/>
    <row r="23" spans="3:19">
      <c r="C23" s="179" t="s">
        <v>1503</v>
      </c>
      <c r="D23" s="179" t="s">
        <v>1504</v>
      </c>
      <c r="E23" s="177" t="s">
        <v>1505</v>
      </c>
      <c r="F23" s="103" t="s">
        <v>1506</v>
      </c>
      <c r="G23" s="164" t="s">
        <v>1528</v>
      </c>
      <c r="H23" s="165"/>
      <c r="I23" s="166"/>
    </row>
    <row r="24" spans="3:19">
      <c r="C24" s="180"/>
      <c r="D24" s="180"/>
      <c r="E24" s="178"/>
      <c r="F24" s="104" t="s">
        <v>1527</v>
      </c>
      <c r="G24" s="167"/>
      <c r="H24" s="168"/>
      <c r="I24" s="169"/>
    </row>
    <row r="25" spans="3:19">
      <c r="C25" s="181" t="s">
        <v>1526</v>
      </c>
      <c r="D25" s="87" t="s">
        <v>576</v>
      </c>
      <c r="E25" s="91">
        <f>COUNTIF(Sheet1!$C:$C,Sheet2!D25)</f>
        <v>8</v>
      </c>
      <c r="F25" s="102">
        <f>E25</f>
        <v>8</v>
      </c>
      <c r="G25" s="174" t="s">
        <v>1536</v>
      </c>
      <c r="H25" s="175"/>
      <c r="I25" s="176"/>
    </row>
    <row r="26" spans="3:19">
      <c r="C26" s="182"/>
      <c r="D26" s="89" t="s">
        <v>732</v>
      </c>
      <c r="E26" s="91">
        <f>COUNTIF(Sheet1!$C:$C,Sheet2!D26)</f>
        <v>14</v>
      </c>
      <c r="F26" s="102">
        <f t="shared" ref="F26:F30" si="7">E26</f>
        <v>14</v>
      </c>
      <c r="G26" s="174" t="s">
        <v>1535</v>
      </c>
      <c r="H26" s="175"/>
      <c r="I26" s="176"/>
    </row>
    <row r="27" spans="3:19">
      <c r="C27" s="182"/>
      <c r="D27" s="87" t="s">
        <v>953</v>
      </c>
      <c r="E27" s="91">
        <f>COUNTIF(Sheet1!$C:$C,Sheet2!D27)</f>
        <v>10</v>
      </c>
      <c r="F27" s="102">
        <f t="shared" si="7"/>
        <v>10</v>
      </c>
      <c r="G27" s="174" t="s">
        <v>1534</v>
      </c>
      <c r="H27" s="175"/>
      <c r="I27" s="176"/>
    </row>
    <row r="28" spans="3:19">
      <c r="C28" s="182"/>
      <c r="D28" s="87" t="s">
        <v>1098</v>
      </c>
      <c r="E28" s="91">
        <f>COUNTIF(Sheet1!$C:$C,Sheet2!D28)</f>
        <v>7</v>
      </c>
      <c r="F28" s="102">
        <f t="shared" si="7"/>
        <v>7</v>
      </c>
      <c r="G28" s="174" t="s">
        <v>1531</v>
      </c>
      <c r="H28" s="175"/>
      <c r="I28" s="176"/>
    </row>
    <row r="29" spans="3:19">
      <c r="C29" s="182"/>
      <c r="D29" s="87" t="s">
        <v>1214</v>
      </c>
      <c r="E29" s="91">
        <f>COUNTIF(Sheet1!$C:$C,Sheet2!D29)</f>
        <v>3</v>
      </c>
      <c r="F29" s="102">
        <f t="shared" si="7"/>
        <v>3</v>
      </c>
      <c r="G29" s="174" t="s">
        <v>1531</v>
      </c>
      <c r="H29" s="175"/>
      <c r="I29" s="176"/>
    </row>
    <row r="30" spans="3:19">
      <c r="C30" s="183"/>
      <c r="D30" s="87" t="s">
        <v>1263</v>
      </c>
      <c r="E30" s="91">
        <f>COUNTIF(Sheet1!$C:$C,Sheet2!D30)</f>
        <v>12</v>
      </c>
      <c r="F30" s="102">
        <f t="shared" si="7"/>
        <v>12</v>
      </c>
      <c r="G30" s="174" t="s">
        <v>1531</v>
      </c>
      <c r="H30" s="175"/>
      <c r="I30" s="176"/>
    </row>
    <row r="31" spans="3:19">
      <c r="C31" s="160" t="s">
        <v>1511</v>
      </c>
      <c r="D31" s="161"/>
      <c r="E31" s="96">
        <f>SUM(E25:E30)</f>
        <v>54</v>
      </c>
      <c r="F31" s="96">
        <f t="shared" ref="F31" si="8">SUM(F25:F30)</f>
        <v>54</v>
      </c>
      <c r="G31" s="170"/>
      <c r="H31" s="171"/>
      <c r="I31" s="172"/>
    </row>
    <row r="32" spans="3:19">
      <c r="C32" s="90" t="s">
        <v>93</v>
      </c>
      <c r="D32" s="92"/>
      <c r="E32" s="91">
        <f>COUNTIF(Sheet1!$C:$C,Sheet2!C32)</f>
        <v>37</v>
      </c>
      <c r="F32" s="102">
        <f t="shared" ref="F32:F33" si="9">E32</f>
        <v>37</v>
      </c>
      <c r="G32" s="174" t="s">
        <v>1533</v>
      </c>
      <c r="H32" s="175"/>
      <c r="I32" s="176"/>
    </row>
    <row r="33" spans="3:9">
      <c r="C33" s="90" t="s">
        <v>1451</v>
      </c>
      <c r="D33" s="92"/>
      <c r="E33" s="91">
        <f>COUNTIF(Sheet1!$C:$C,Sheet2!C33)</f>
        <v>2</v>
      </c>
      <c r="F33" s="102">
        <f t="shared" si="9"/>
        <v>2</v>
      </c>
      <c r="G33" s="174" t="s">
        <v>1531</v>
      </c>
      <c r="H33" s="175"/>
      <c r="I33" s="176"/>
    </row>
    <row r="34" spans="3:9">
      <c r="C34" s="162" t="s">
        <v>1512</v>
      </c>
      <c r="D34" s="163"/>
      <c r="E34" s="96">
        <f>SUM(E31:E33)</f>
        <v>93</v>
      </c>
      <c r="F34" s="96">
        <f t="shared" ref="F34" si="10">SUM(F31:F33)</f>
        <v>93</v>
      </c>
      <c r="G34" s="160"/>
      <c r="H34" s="173"/>
      <c r="I34" s="161"/>
    </row>
  </sheetData>
  <mergeCells count="34">
    <mergeCell ref="C17:D17"/>
    <mergeCell ref="C16:D16"/>
    <mergeCell ref="F7:H7"/>
    <mergeCell ref="G25:I25"/>
    <mergeCell ref="K7:K8"/>
    <mergeCell ref="C25:C30"/>
    <mergeCell ref="M7:M8"/>
    <mergeCell ref="S7:S8"/>
    <mergeCell ref="K9:K14"/>
    <mergeCell ref="C23:C24"/>
    <mergeCell ref="D23:D24"/>
    <mergeCell ref="E23:E24"/>
    <mergeCell ref="K15:L15"/>
    <mergeCell ref="K18:L18"/>
    <mergeCell ref="C15:D15"/>
    <mergeCell ref="C18:D18"/>
    <mergeCell ref="I7:I8"/>
    <mergeCell ref="E7:E8"/>
    <mergeCell ref="D7:D8"/>
    <mergeCell ref="C7:C8"/>
    <mergeCell ref="C9:C14"/>
    <mergeCell ref="L7:L8"/>
    <mergeCell ref="C31:D31"/>
    <mergeCell ref="C34:D34"/>
    <mergeCell ref="G23:I24"/>
    <mergeCell ref="G31:I31"/>
    <mergeCell ref="G34:I34"/>
    <mergeCell ref="G33:I33"/>
    <mergeCell ref="G32:I32"/>
    <mergeCell ref="G26:I26"/>
    <mergeCell ref="G27:I27"/>
    <mergeCell ref="G28:I28"/>
    <mergeCell ref="G29:I29"/>
    <mergeCell ref="G30:I30"/>
  </mergeCells>
  <phoneticPr fontId="2" type="noConversion"/>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Hee</cp:lastModifiedBy>
  <dcterms:created xsi:type="dcterms:W3CDTF">2025-09-24T03:23:40Z</dcterms:created>
  <dcterms:modified xsi:type="dcterms:W3CDTF">2026-05-12T04:51:24Z</dcterms:modified>
</cp:coreProperties>
</file>