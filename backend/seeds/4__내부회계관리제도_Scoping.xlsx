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현재_통합_문서"/>
  <mc:AlternateContent xmlns:mc="http://schemas.openxmlformats.org/markup-compatibility/2006">
    <mc:Choice Requires="x15">
      <x15ac:absPath xmlns:x15ac="http://schemas.microsoft.com/office/spreadsheetml/2010/11/ac" url="https://wooricpajbt-my.sharepoint.com/personal/sukchoi_wooricpajbt_onmicrosoft_com/Documents/계약서스케쥴공유/9. 업무별폴더/사이냅소프트/내부회계/산출물/"/>
    </mc:Choice>
  </mc:AlternateContent>
  <xr:revisionPtr revIDLastSave="1102" documentId="13_ncr:1_{C85532EA-38C0-4BF4-A26C-57CB7FE47863}" xr6:coauthVersionLast="47" xr6:coauthVersionMax="47" xr10:uidLastSave="{A5BF6AE1-3EB2-45B6-B688-4F4D6721604B}"/>
  <bookViews>
    <workbookView xWindow="-38510" yWindow="-110" windowWidth="38620" windowHeight="21220" tabRatio="824" firstSheet="1" activeTab="1" xr2:uid="{00000000-000D-0000-FFFF-FFFF00000000}"/>
  </bookViews>
  <sheets>
    <sheet name="총괄" sheetId="12" r:id="rId1"/>
    <sheet name="1. 중요성 기준" sheetId="1" r:id="rId2"/>
    <sheet name="2.1 유의한 계정과목(BS)" sheetId="4" r:id="rId3"/>
    <sheet name="2.2 유의한 계정과목(PL)" sheetId="5" r:id="rId4"/>
    <sheet name="2.3 유의한 주석" sheetId="6" r:id="rId5"/>
    <sheet name="2.4 유의한 현금흐름 관련항목 " sheetId="20" r:id="rId6"/>
    <sheet name="3. GITC Scoping_" sheetId="42" r:id="rId7"/>
    <sheet name="3.1 유의한 업무프로세스 정리" sheetId="43" r:id="rId8"/>
    <sheet name="Notes" sheetId="2" r:id="rId9"/>
  </sheets>
  <definedNames>
    <definedName name="_">#REF!</definedName>
    <definedName name="_.4">#REF!</definedName>
    <definedName name="__123Graph_A" hidden="1">#REF!</definedName>
    <definedName name="__123Graph_B" hidden="1">#REF!</definedName>
    <definedName name="__123Graph_LBL_A" hidden="1">#REF!</definedName>
    <definedName name="__123Graph_LBL_B" hidden="1">#REF!</definedName>
    <definedName name="__123Graph_X" hidden="1">#REF!</definedName>
    <definedName name="__IntlFixup" hidden="1">TRUE</definedName>
    <definedName name="__sck1" hidden="1">{#N/A,#N/A,FALSE,"BS";#N/A,#N/A,FALSE,"PL";#N/A,#N/A,FALSE,"A";#N/A,#N/A,FALSE,"B";#N/A,#N/A,FALSE,"B1";#N/A,#N/A,FALSE,"C";#N/A,#N/A,FALSE,"C1";#N/A,#N/A,FALSE,"C2";#N/A,#N/A,FALSE,"D";#N/A,#N/A,FALSE,"E";#N/A,#N/A,FALSE,"F";#N/A,#N/A,FALSE,"AA";#N/A,#N/A,FALSE,"BB";#N/A,#N/A,FALSE,"CC";#N/A,#N/A,FALSE,"DD";#N/A,#N/A,FALSE,"EE";#N/A,#N/A,FALSE,"FF";#N/A,#N/A,FALSE,"PL10";#N/A,#N/A,FALSE,"PL20";#N/A,#N/A,FALSE,"PL30"}</definedName>
    <definedName name="_1">#REF!</definedName>
    <definedName name="_10">#REF!</definedName>
    <definedName name="_10_9_0__123Grap" hidden="1">#REF!</definedName>
    <definedName name="_10T1">#REF!</definedName>
    <definedName name="_10T2">#REF!</definedName>
    <definedName name="_10월">#REF!</definedName>
    <definedName name="_11_9_0__123Graph_LB" hidden="1">#REF!</definedName>
    <definedName name="_11월">#REF!</definedName>
    <definedName name="_12월">#REF!</definedName>
    <definedName name="_13a1_">#REF!</definedName>
    <definedName name="_14A17000_">#REF!</definedName>
    <definedName name="_15P1_">#REF!</definedName>
    <definedName name="_16p11_">#REF!</definedName>
    <definedName name="_17p2_">#REF!</definedName>
    <definedName name="_1월">#REF!</definedName>
    <definedName name="_2_?">#REF!</definedName>
    <definedName name="_20">#REF!</definedName>
    <definedName name="_20T1">#REF!</definedName>
    <definedName name="_20T2">#REF!</definedName>
    <definedName name="_2월">#REF!</definedName>
    <definedName name="_3월">#REF!</definedName>
    <definedName name="_4_?__C">#REF!</definedName>
    <definedName name="_40">#REF!</definedName>
    <definedName name="_40T1">#REF!</definedName>
    <definedName name="_40T2">#REF!</definedName>
    <definedName name="_4월">#REF!</definedName>
    <definedName name="_50">#REF!</definedName>
    <definedName name="_50T1">#REF!</definedName>
    <definedName name="_50T2">#REF!</definedName>
    <definedName name="_5납품기록PGM__.통합">#REF!</definedName>
    <definedName name="_5월">#REF!</definedName>
    <definedName name="_6_2000년입출고">#REF!</definedName>
    <definedName name="_60">#REF!</definedName>
    <definedName name="_60T1">#REF!</definedName>
    <definedName name="_60T2">#REF!</definedName>
    <definedName name="_6월">#REF!</definedName>
    <definedName name="_7_5_0__123Grap" hidden="1">#REF!</definedName>
    <definedName name="_70T1">#REF!</definedName>
    <definedName name="_70T2">#REF!</definedName>
    <definedName name="_7월">#REF!</definedName>
    <definedName name="_8_7_0__123Grap" hidden="1">#REF!</definedName>
    <definedName name="_8월">#REF!</definedName>
    <definedName name="_9_7_0__123Graph_LB" hidden="1">#REF!</definedName>
    <definedName name="_90">#REF!</definedName>
    <definedName name="_90T1">#REF!</definedName>
    <definedName name="_90T2">#REF!</definedName>
    <definedName name="_9월">#REF!</definedName>
    <definedName name="_A100000">#REF!</definedName>
    <definedName name="_A70000">#REF!</definedName>
    <definedName name="_Bp2" hidden="1">{#N/A,#N/A,FALSE,"BS";#N/A,#N/A,FALSE,"PL";#N/A,#N/A,FALSE,"처분";#N/A,#N/A,FALSE,"현금";#N/A,#N/A,FALSE,"매출";#N/A,#N/A,FALSE,"원가";#N/A,#N/A,FALSE,"경영"}</definedName>
    <definedName name="_Dist_Bin" hidden="1">#REF!</definedName>
    <definedName name="_Dist_Values" hidden="1">#REF!</definedName>
    <definedName name="_E100000">#REF!</definedName>
    <definedName name="_Fill" hidden="1">#REF!</definedName>
    <definedName name="_xlnm._FilterDatabase" localSheetId="2" hidden="1">'2.1 유의한 계정과목(BS)'!$B$17:$Y$103</definedName>
    <definedName name="_xlnm._FilterDatabase" localSheetId="3" hidden="1">'2.2 유의한 계정과목(PL)'!$B$17:$Y$72</definedName>
    <definedName name="_xlnm._FilterDatabase" localSheetId="4" hidden="1">'2.3 유의한 주석'!$B$17:$AA$56</definedName>
    <definedName name="_xlnm._FilterDatabase" localSheetId="5" hidden="1">'2.4 유의한 현금흐름 관련항목 '!$A$17:$Y$80</definedName>
    <definedName name="_xlnm._FilterDatabase" localSheetId="6" hidden="1">'3. GITC Scoping_'!$B$5:$K$136</definedName>
    <definedName name="_Key1" hidden="1">#REF!</definedName>
    <definedName name="_Key2" hidden="1">#REF!</definedName>
    <definedName name="_Key3" hidden="1">#REF!</definedName>
    <definedName name="_MAP1">#REF!</definedName>
    <definedName name="_Order1" hidden="1">255</definedName>
    <definedName name="_Order2" hidden="1">255</definedName>
    <definedName name="_POP1">#REF!</definedName>
    <definedName name="_POP2">#REF!</definedName>
    <definedName name="_Report">"Sensitivity Table"</definedName>
    <definedName name="_sck1" hidden="1">{#N/A,#N/A,FALSE,"BS";#N/A,#N/A,FALSE,"PL";#N/A,#N/A,FALSE,"A";#N/A,#N/A,FALSE,"B";#N/A,#N/A,FALSE,"B1";#N/A,#N/A,FALSE,"C";#N/A,#N/A,FALSE,"C1";#N/A,#N/A,FALSE,"C2";#N/A,#N/A,FALSE,"D";#N/A,#N/A,FALSE,"E";#N/A,#N/A,FALSE,"F";#N/A,#N/A,FALSE,"AA";#N/A,#N/A,FALSE,"BB";#N/A,#N/A,FALSE,"CC";#N/A,#N/A,FALSE,"DD";#N/A,#N/A,FALSE,"EE";#N/A,#N/A,FALSE,"FF";#N/A,#N/A,FALSE,"PL10";#N/A,#N/A,FALSE,"PL20";#N/A,#N/A,FALSE,"PL30"}</definedName>
    <definedName name="_Sort" hidden="1">#REF!</definedName>
    <definedName name="_Threshold">#REF!</definedName>
    <definedName name="_ZEBITDA_Sensitivity">{0;0;0;0;5;1;0.75;0;0;0;2;FALSE;FALSE;FALSE;FALSE;FALSE;#N/A;1;100;#N/A;#N/A;"";""}</definedName>
    <definedName name="_ZSensitivity_Table">{0;0;0;0;5;1;0.75;0;0;0;2;FALSE;FALSE;FALSE;FALSE;FALSE;#N/A;1;100;#N/A;#N/A;"";""}</definedName>
    <definedName name="\d">#REF!</definedName>
    <definedName name="\SC">#REF!</definedName>
    <definedName name="\x">#REF!</definedName>
    <definedName name="a">#REF!</definedName>
    <definedName name="aa">#REF!</definedName>
    <definedName name="aaa" hidden="1">{#N/A,#N/A,FALSE,"BS";#N/A,#N/A,FALSE,"PL";#N/A,#N/A,FALSE,"처분";#N/A,#N/A,FALSE,"현금";#N/A,#N/A,FALSE,"매출";#N/A,#N/A,FALSE,"원가";#N/A,#N/A,FALSE,"경영"}</definedName>
    <definedName name="AAAA" hidden="1">{#N/A,#N/A,FALSE,"Aging Summary";#N/A,#N/A,FALSE,"Ratio Analysis";#N/A,#N/A,FALSE,"Test 120 Day Accts";#N/A,#N/A,FALSE,"Tickmarks"}</definedName>
    <definedName name="AAAAAA">#REF!</definedName>
    <definedName name="aaaaaaaaaa">#REF!</definedName>
    <definedName name="Access_Button" hidden="1">"X9805인원_인사기록__2__List"</definedName>
    <definedName name="AccessDatabase" hidden="1">"C:\SINS\인원현황\9805인원.mdb"</definedName>
    <definedName name="adfa">#REF!</definedName>
    <definedName name="adsas" hidden="1">{#N/A,#N/A,FALSE,"Aging Summary";#N/A,#N/A,FALSE,"Ratio Analysis";#N/A,#N/A,FALSE,"Test 120 Day Accts";#N/A,#N/A,FALSE,"Tickmarks"}</definedName>
    <definedName name="AKS" hidden="1">{#N/A,#N/A,FALSE,"BS";#N/A,#N/A,FALSE,"PL";#N/A,#N/A,FALSE,"처분";#N/A,#N/A,FALSE,"현금";#N/A,#N/A,FALSE,"매출";#N/A,#N/A,FALSE,"원가";#N/A,#N/A,FALSE,"경영"}</definedName>
    <definedName name="anticipated_uncorrected">#REF!</definedName>
    <definedName name="APTM">#REF!</definedName>
    <definedName name="Area">#REF!</definedName>
    <definedName name="ARP_Threshold">#REF!</definedName>
    <definedName name="AS">#REF!</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B">#REF!</definedName>
    <definedName name="B_10">#REF!</definedName>
    <definedName name="B_20">#REF!</definedName>
    <definedName name="B_40">#REF!</definedName>
    <definedName name="B_50">#REF!</definedName>
    <definedName name="B_60">#REF!</definedName>
    <definedName name="B_70">#REF!</definedName>
    <definedName name="B_90">#REF!</definedName>
    <definedName name="B_JEMU">#REF!</definedName>
    <definedName name="B_TOTAL">#REF!</definedName>
    <definedName name="B_TOTALT">#REF!</definedName>
    <definedName name="BaseYear">#REF!</definedName>
    <definedName name="BB">#REF!</definedName>
    <definedName name="BBB">#REF!</definedName>
    <definedName name="benchmark_numbers">#REF!</definedName>
    <definedName name="benchmark_ranges">#REF!</definedName>
    <definedName name="benchmark1">#REF!</definedName>
    <definedName name="benchmark1_bal">#REF!</definedName>
    <definedName name="benchmark2">#REF!</definedName>
    <definedName name="benchmark2_bal">#REF!</definedName>
    <definedName name="benchmark3">#REF!</definedName>
    <definedName name="benchmark3_bal">#REF!</definedName>
    <definedName name="Benchmarks">#REF!</definedName>
    <definedName name="BG_Del" hidden="1">15</definedName>
    <definedName name="BG_Ins" hidden="1">4</definedName>
    <definedName name="BG_Mod" hidden="1">6</definedName>
    <definedName name="BM_number">#REF!</definedName>
    <definedName name="BO">#REF!</definedName>
    <definedName name="BPR_01" hidden="1">{#N/A,#N/A,FALSE,"BS";#N/A,#N/A,FALSE,"PL";#N/A,#N/A,FALSE,"처분";#N/A,#N/A,FALSE,"현금";#N/A,#N/A,FALSE,"매출";#N/A,#N/A,FALSE,"원가";#N/A,#N/A,FALSE,"경영"}</definedName>
    <definedName name="bs">#REF!</definedName>
    <definedName name="BS_cash">#REF!</definedName>
    <definedName name="BS_commonequity">#REF!</definedName>
    <definedName name="BS_convertdebt">#REF!</definedName>
    <definedName name="bs_date">#REF!</definedName>
    <definedName name="BS_deferredtaxes">#REF!</definedName>
    <definedName name="BS_intangibles">#REF!</definedName>
    <definedName name="BS_minority">#REF!</definedName>
    <definedName name="BS_otherCA">#REF!</definedName>
    <definedName name="BS_otherCL">#REF!</definedName>
    <definedName name="BS_otherLTA">#REF!</definedName>
    <definedName name="BS_otherLTL">#REF!</definedName>
    <definedName name="BS_payables">#REF!</definedName>
    <definedName name="BS_PPE">#REF!</definedName>
    <definedName name="BS_revolver">#REF!</definedName>
    <definedName name="BS_straightdebt">#REF!</definedName>
    <definedName name="BS_T">#REF!</definedName>
    <definedName name="bs건설">#REF!</definedName>
    <definedName name="bs양재">#REF!</definedName>
    <definedName name="BU75_">#REF!</definedName>
    <definedName name="Budget_N">#REF!</definedName>
    <definedName name="BUPAN">#REF!</definedName>
    <definedName name="CALC_DATA">#REF!</definedName>
    <definedName name="cash_fv">#REF!</definedName>
    <definedName name="cash_terminal">#REF!</definedName>
    <definedName name="cc"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ccc">#REF!</definedName>
    <definedName name="CD">#REF!</definedName>
    <definedName name="CENTA">#REF!</definedName>
    <definedName name="CENTA1">#REF!</definedName>
    <definedName name="CF_begcash">#REF!</definedName>
    <definedName name="CF_capex">#REF!</definedName>
    <definedName name="CF_commondiv">#REF!</definedName>
    <definedName name="CF_convertdebt">#REF!</definedName>
    <definedName name="CF_deprec">#REF!</definedName>
    <definedName name="CF_equity">#REF!</definedName>
    <definedName name="CF_intangiblesamort">#REF!</definedName>
    <definedName name="CF_netinc">#REF!</definedName>
    <definedName name="CF_NWC">#REF!</definedName>
    <definedName name="CF_othernonoper">#REF!</definedName>
    <definedName name="CF_otheroper">#REF!</definedName>
    <definedName name="CF_revolver">#REF!</definedName>
    <definedName name="CF_straightdebt">#REF!</definedName>
    <definedName name="ChangeInCommonEquity">#REF!</definedName>
    <definedName name="ChangeInConvertiblePreferredStock">#REF!</definedName>
    <definedName name="ChangeInDeferredCompensation">#REF!</definedName>
    <definedName name="ChangeInStraightPreferredStock">#REF!</definedName>
    <definedName name="Clearly_trivial_threshold">#REF!</definedName>
    <definedName name="CLIENT_NAME">#REF!</definedName>
    <definedName name="CO">#REF!</definedName>
    <definedName name="code">#REF!</definedName>
    <definedName name="COMCODE">#REF!</definedName>
    <definedName name="commondiv">#REF!</definedName>
    <definedName name="ComponentPM">#REF!</definedName>
    <definedName name="convdebtrate">#REF!</definedName>
    <definedName name="convdebtshares">#REF!</definedName>
    <definedName name="convprefrate">#REF!</definedName>
    <definedName name="convprefshares">#REF!</definedName>
    <definedName name="convpricedebt">#REF!</definedName>
    <definedName name="convpricepref">#REF!</definedName>
    <definedName name="cost">#REF!</definedName>
    <definedName name="CT">#REF!</definedName>
    <definedName name="CTT_percent">#REF!</definedName>
    <definedName name="CT내수">#REF!</definedName>
    <definedName name="CT수출">#REF!</definedName>
    <definedName name="current">#REF!</definedName>
    <definedName name="CY_Accounts_Receivable">#REF!</definedName>
    <definedName name="CY_Administration">#REF!</definedName>
    <definedName name="CY_all_Assets">#REF!</definedName>
    <definedName name="CY_all_Equity">#REF!</definedName>
    <definedName name="CY_all_Income">#REF!</definedName>
    <definedName name="CY_all_Liabs">#REF!</definedName>
    <definedName name="CY_all_RetEarn_bf">#REF!</definedName>
    <definedName name="CY_Cash">#REF!</definedName>
    <definedName name="CY_Cash_Div_Dec">#REF!</definedName>
    <definedName name="CY_Common_Equity">#REF!</definedName>
    <definedName name="CY_Cost_of_Sales">#REF!</definedName>
    <definedName name="CY_Current_Liabilities">#REF!</definedName>
    <definedName name="CY_Depreciation">#REF!</definedName>
    <definedName name="CY_Gross_Profit">#REF!</definedName>
    <definedName name="CY_Inc_Bef_Tax">#REF!</definedName>
    <definedName name="CY_Intangible_Assets">#REF!</definedName>
    <definedName name="CY_Interest_Expense">#REF!</definedName>
    <definedName name="CY_Inventory">#REF!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T_Debt">#REF!</definedName>
    <definedName name="CY_Market_Value_of_Equity">#REF!</definedName>
    <definedName name="CY_Marketable_Sec">#REF!</definedName>
    <definedName name="CY_NET_PROFIT">#REF!</definedName>
    <definedName name="CY_Net_Revenue">#REF!</definedName>
    <definedName name="CY_Operating_Income">#REF!</definedName>
    <definedName name="CY_Other">#REF!</definedName>
    <definedName name="CY_Other_Curr_Assets">#REF!</definedName>
    <definedName name="CY_Other_LT_Assets">#REF!</definedName>
    <definedName name="CY_Other_LT_Liabilities">#REF!</definedName>
    <definedName name="CY_Preferred_Stock">#REF!</definedName>
    <definedName name="CY_QUICK_ASSETS">#REF!</definedName>
    <definedName name="CY_Retained_Earnings">#REF!</definedName>
    <definedName name="CY_Selling">#REF!</definedName>
    <definedName name="CY_Tangible_Assets">#REF!</definedName>
    <definedName name="CY_Tangible_Net_Worth">#REF!</definedName>
    <definedName name="CY_Taxes">#REF!</definedName>
    <definedName name="CY_TOTAL_ASSETS">#REF!</definedName>
    <definedName name="CY_TOTAL_CURR_ASSETS">#REF!</definedName>
    <definedName name="CY_TOTAL_DEBT">#REF!</definedName>
    <definedName name="CY_TOTAL_EQUITY">#REF!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DA_1673168376600000746" hidden="1">#REF!</definedName>
    <definedName name="DA_2722037779500000381" hidden="1">#REF!</definedName>
    <definedName name="DA_2787053432200000035" hidden="1">#REF!</definedName>
    <definedName name="DA_2787053432200000039" hidden="1">#REF!</definedName>
    <definedName name="DA_2787053432200000041" hidden="1">#REF!</definedName>
    <definedName name="DA_2787053432200000051" hidden="1">#REF!</definedName>
    <definedName name="datab">#REF!</definedName>
    <definedName name="_xlnm.Database">#REF!</definedName>
    <definedName name="dcf_year">#REF!</definedName>
    <definedName name="d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ddd">#REF!</definedName>
    <definedName name="debt_fv">#REF!</definedName>
    <definedName name="debt_terminal">#REF!</definedName>
    <definedName name="dec">#REF!</definedName>
    <definedName name="DF" hidden="1">{#N/A,#N/A,FALSE,"Aging Summary";#N/A,#N/A,FALSE,"Ratio Analysis";#N/A,#N/A,FALSE,"Test 120 Day Accts";#N/A,#N/A,FALSE,"Tickmarks"}</definedName>
    <definedName name="DFDF" hidden="1">{#N/A,#N/A,FALSE,"Aging Summary";#N/A,#N/A,FALSE,"Ratio Analysis";#N/A,#N/A,FALSE,"Test 120 Day Accts";#N/A,#N/A,FALSE,"Tickmarks"}</definedName>
    <definedName name="DFDF1" hidden="1">{#N/A,#N/A,FALSE,"Aging Summary";#N/A,#N/A,FALSE,"Ratio Analysis";#N/A,#N/A,FALSE,"Test 120 Day Accts";#N/A,#N/A,FALSE,"Tickmarks"}</definedName>
    <definedName name="disc_years">#REF!</definedName>
    <definedName name="dkaljfd">#REF!</definedName>
    <definedName name="DOC">#REF!</definedName>
    <definedName name="Dollar_Threshold">#REF!</definedName>
    <definedName name="DOWN">#REF!</definedName>
    <definedName name="dr" hidden="1">{#N/A,#N/A,FALSE,"Aging Summary";#N/A,#N/A,FALSE,"Ratio Analysis";#N/A,#N/A,FALSE,"Test 120 Day Accts";#N/A,#N/A,FALSE,"Tickmarks"}</definedName>
    <definedName name="dsjflsajf" hidden="1">{#N/A,#N/A,FALSE,"BS";#N/A,#N/A,FALSE,"PL";#N/A,#N/A,FALSE,"처분";#N/A,#N/A,FALSE,"현금";#N/A,#N/A,FALSE,"매출";#N/A,#N/A,FALSE,"원가";#N/A,#N/A,FALSE,"경영"}</definedName>
    <definedName name="dssaffdsafaf">#REF!</definedName>
    <definedName name="dwg">#REF!</definedName>
    <definedName name="dwgno">#REF!</definedName>
    <definedName name="dㄴㄹㅇ" hidden="1">{#N/A,#N/A,FALSE,"Aging Summary";#N/A,#N/A,FALSE,"Ratio Analysis";#N/A,#N/A,FALSE,"Test 120 Day Accts";#N/A,#N/A,FALSE,"Tickmarks"}</definedName>
    <definedName name="EBITDA_mult">#REF!</definedName>
    <definedName name="eo" hidden="1">{#N/A,#N/A,FALSE,"BS";#N/A,#N/A,FALSE,"PL";#N/A,#N/A,FALSE,"처분";#N/A,#N/A,FALSE,"현금";#N/A,#N/A,FALSE,"매출";#N/A,#N/A,FALSE,"원가";#N/A,#N/A,FALSE,"경영"}</definedName>
    <definedName name="_xlnm.Extract">#REF!</definedName>
    <definedName name="factor1">#REF!</definedName>
    <definedName name="factor2">#REF!</definedName>
    <definedName name="factor3">#REF!</definedName>
    <definedName name="fcf_unlev_terminal1">#REF!</definedName>
    <definedName name="fcf_unlev_terminal2">#REF!</definedName>
    <definedName name="fcf_unlev_terminal3">#REF!</definedName>
    <definedName name="fcf_unlev_terminal4">#REF!</definedName>
    <definedName name="fcf_unlev_terminal5">#REF!</definedName>
    <definedName name="fcf_unlev10">#REF!</definedName>
    <definedName name="fcf_unlev5">#REF!</definedName>
    <definedName name="FD" hidden="1">{#N/A,#N/A,FALSE,"Aging Summary";#N/A,#N/A,FALSE,"Ratio Analysis";#N/A,#N/A,FALSE,"Test 120 Day Accts";#N/A,#N/A,FALSE,"Tickmarks"}</definedName>
    <definedName name="FDD" hidden="1">{#N/A,#N/A,FALSE,"Aging Summary";#N/A,#N/A,FALSE,"Ratio Analysis";#N/A,#N/A,FALSE,"Test 120 Day Accts";#N/A,#N/A,FALSE,"Tickmarks"}</definedName>
    <definedName name="FD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eee" hidden="1">{"'買掛金'!$J$6"}</definedName>
    <definedName name="ff" hidden="1">{#N/A,#N/A,FALSE,"Aging Summary";#N/A,#N/A,FALSE,"Ratio Analysis";#N/A,#N/A,FALSE,"Test 120 Day Accts";#N/A,#N/A,FALSE,"Tickmarks"}</definedName>
    <definedName name="ffee" hidden="1">{"'買掛金'!$J$6"}</definedName>
    <definedName name="fff" hidden="1">{#N/A,#N/A,FALSE,"BS";#N/A,#N/A,FALSE,"PL";#N/A,#N/A,FALSE,"A";#N/A,#N/A,FALSE,"B";#N/A,#N/A,FALSE,"B1";#N/A,#N/A,FALSE,"C";#N/A,#N/A,FALSE,"C1";#N/A,#N/A,FALSE,"C2";#N/A,#N/A,FALSE,"D";#N/A,#N/A,FALSE,"E";#N/A,#N/A,FALSE,"F";#N/A,#N/A,FALSE,"AA";#N/A,#N/A,FALSE,"BB";#N/A,#N/A,FALSE,"CC";#N/A,#N/A,FALSE,"DD";#N/A,#N/A,FALSE,"EE";#N/A,#N/A,FALSE,"FF";#N/A,#N/A,FALSE,"PL10";#N/A,#N/A,FALSE,"PL20";#N/A,#N/A,FALSE,"PL30"}</definedName>
    <definedName name="fiscal_year">#REF!</definedName>
    <definedName name="FK">#REF!</definedName>
    <definedName name="fkkadsfkjaks">#REF!</definedName>
    <definedName name="FLUCTUATIONS">#REF!</definedName>
    <definedName name="G">#REF!</definedName>
    <definedName name="GCJK">#REF!</definedName>
    <definedName name="GMJK">#REF!</definedName>
    <definedName name="group_materiality">#REF!</definedName>
    <definedName name="group_performance_materiality">#REF!</definedName>
    <definedName name="HEADER">#REF!</definedName>
    <definedName name="hh" hidden="1">{#N/A,#N/A,FALSE,"Aging Summary";#N/A,#N/A,FALSE,"Ratio Analysis";#N/A,#N/A,FALSE,"Test 120 Day Accts";#N/A,#N/A,FALSE,"Tickmarks"}</definedName>
    <definedName name="HTML_CodePage" hidden="1">932</definedName>
    <definedName name="HTML_Control" hidden="1">{"'買掛金'!$J$6"}</definedName>
    <definedName name="HTML_Description" hidden="1">""</definedName>
    <definedName name="HTML_Email" hidden="1">""</definedName>
    <definedName name="HTML_Header" hidden="1">"買掛金"</definedName>
    <definedName name="HTML_LastUpdate" hidden="1">"98/01/22"</definedName>
    <definedName name="HTML_LineAfter" hidden="1">FALSE</definedName>
    <definedName name="HTML_LineBefore" hidden="1">FALSE</definedName>
    <definedName name="HTML_Name" hidden="1">"SIMP"</definedName>
    <definedName name="HTML_OBDlg2" hidden="1">TRUE</definedName>
    <definedName name="HTML_OBDlg4" hidden="1">TRUE</definedName>
    <definedName name="HTML_OS" hidden="1">0</definedName>
    <definedName name="HTML_PathFile" hidden="1">"C:\My Documents\MyHTML.htm"</definedName>
    <definedName name="HTML_Title" hidden="1">"1-19"</definedName>
    <definedName name="i">#REF!</definedName>
    <definedName name="i_?3">#REF!</definedName>
    <definedName name="i_E">#REF!</definedName>
    <definedName name="i_E__.3">#REF!</definedName>
    <definedName name="i_E_O">#REF!</definedName>
    <definedName name="i_E_O__.3">#REF!</definedName>
    <definedName name="inno">#REF!</definedName>
    <definedName name="INPUT">#REF!</definedName>
    <definedName name="IS_COGS">#REF!</definedName>
    <definedName name="IS_convprefdiv">#REF!</definedName>
    <definedName name="IS_deprec">#REF!</definedName>
    <definedName name="IS_eps">#REF!</definedName>
    <definedName name="IS_inctaxes">#REF!</definedName>
    <definedName name="IS_intangamort">#REF!</definedName>
    <definedName name="IS_intexisting">#REF!</definedName>
    <definedName name="IS_intincome">#REF!</definedName>
    <definedName name="IS_intrevolver">#REF!</definedName>
    <definedName name="IS_minority">#REF!</definedName>
    <definedName name="IS_otherexp">#REF!</definedName>
    <definedName name="IS_revenues">#REF!</definedName>
    <definedName name="IS_SGA">#REF!</definedName>
    <definedName name="IS_straightprefdiv">#REF!</definedName>
    <definedName name="item">#REF!</definedName>
    <definedName name="jalkjalkf" hidden="1">{#N/A,#N/A,FALSE,"BS";#N/A,#N/A,FALSE,"PL";#N/A,#N/A,FALSE,"처분";#N/A,#N/A,FALSE,"현금";#N/A,#N/A,FALSE,"매출";#N/A,#N/A,FALSE,"원가";#N/A,#N/A,FALSE,"경영"}</definedName>
    <definedName name="jfksjdf" hidden="1">{#N/A,#N/A,FALSE,"Aging Summary";#N/A,#N/A,FALSE,"Ratio Analysis";#N/A,#N/A,FALSE,"Test 120 Day Accts";#N/A,#N/A,FALSE,"Tickmarks"}</definedName>
    <definedName name="jflkalk">#REF!</definedName>
    <definedName name="jflklklkkjasdfjkajslkfa">#REF!</definedName>
    <definedName name="jj"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jlkajsf" hidden="1">{#N/A,#N/A,FALSE,"BS";#N/A,#N/A,FALSE,"PL";#N/A,#N/A,FALSE,"A";#N/A,#N/A,FALSE,"B";#N/A,#N/A,FALSE,"B1";#N/A,#N/A,FALSE,"C";#N/A,#N/A,FALSE,"C1";#N/A,#N/A,FALSE,"C2";#N/A,#N/A,FALSE,"D";#N/A,#N/A,FALSE,"E";#N/A,#N/A,FALSE,"F";#N/A,#N/A,FALSE,"AA";#N/A,#N/A,FALSE,"BB";#N/A,#N/A,FALSE,"CC";#N/A,#N/A,FALSE,"DD";#N/A,#N/A,FALSE,"EE";#N/A,#N/A,FALSE,"FF";#N/A,#N/A,FALSE,"PL10";#N/A,#N/A,FALSE,"PL20";#N/A,#N/A,FALSE,"PL30"}</definedName>
    <definedName name="jlkkasdkf">#REF!</definedName>
    <definedName name="kajfkjasd">#REF!</definedName>
    <definedName name="kjalkjfdsalkjf">#REF!</definedName>
    <definedName name="kjlklkas">#REF!</definedName>
    <definedName name="L_Adjust">#REF!</definedName>
    <definedName name="L_AJE_Tot">#REF!</definedName>
    <definedName name="L_CY_Beg">#REF!</definedName>
    <definedName name="L_CY_End">#REF!</definedName>
    <definedName name="L_PY_End">#REF!</definedName>
    <definedName name="L_RJE_Tot">#REF!</definedName>
    <definedName name="last">#REF!</definedName>
    <definedName name="LEFT">#REF!</definedName>
    <definedName name="LEFT1">#REF!</definedName>
    <definedName name="LIST">#REF!</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Materiality">#REF!</definedName>
    <definedName name="max_CTT">#REF!</definedName>
    <definedName name="md">#REF!</definedName>
    <definedName name="MEMO">#REF!</definedName>
    <definedName name="MENO">#REF!</definedName>
    <definedName name="MI">#REF!</definedName>
    <definedName name="mii">#REF!</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onetary_Precision">#REF!</definedName>
    <definedName name="month">#REF!</definedName>
    <definedName name="msg">#REF!</definedName>
    <definedName name="mult_sen">#REF!</definedName>
    <definedName name="m記" hidden="1">{"'買掛金'!$J$6"}</definedName>
    <definedName name="N">#REF!</definedName>
    <definedName name="neg">#REF!</definedName>
    <definedName name="ni_terminal">#REF!</definedName>
    <definedName name="NN" hidden="1">{#N/A,#N/A,FALSE,"Aging Summary";#N/A,#N/A,FALSE,"Ratio Analysis";#N/A,#N/A,FALSE,"Test 120 Day Accts";#N/A,#N/A,FALSE,"Tickmarks"}</definedName>
    <definedName name="no">#REF!</definedName>
    <definedName name="Number_of_Selections">#REF!</definedName>
    <definedName name="O">#REF!</definedName>
    <definedName name="OUTPUT">#REF!</definedName>
    <definedName name="P">#REF!</definedName>
    <definedName name="P_?">#REF!</definedName>
    <definedName name="PART">#REF!</definedName>
    <definedName name="PBC">#REF!</definedName>
    <definedName name="PBC_List">#REF!</definedName>
    <definedName name="pen">#REF!</definedName>
    <definedName name="Percent_Threshold">#REF!</definedName>
    <definedName name="Performance_materiality">#REF!</definedName>
    <definedName name="PERIOD_END">#REF!</definedName>
    <definedName name="perp_unlev">#REF!</definedName>
    <definedName name="perp_unlev_sen">#REF!</definedName>
    <definedName name="perp_unlev1">#REF!</definedName>
    <definedName name="perp_unlev2">#REF!</definedName>
    <definedName name="perp_unlev3">#REF!</definedName>
    <definedName name="perp_unlev4">#REF!</definedName>
    <definedName name="perp_unlev5">#REF!</definedName>
    <definedName name="pl">#REF!</definedName>
    <definedName name="PL_Dollar_Threshold">#REF!</definedName>
    <definedName name="PL_Percent_Threshold">#REF!</definedName>
    <definedName name="pl건설">#REF!</definedName>
    <definedName name="pl양재">#REF!</definedName>
    <definedName name="pm">#REF!</definedName>
    <definedName name="prefrate">#REF!</definedName>
    <definedName name="PREPARED_BY">#REF!</definedName>
    <definedName name="PREPARED_DATE">#REF!</definedName>
    <definedName name="_xlnm.Print_Area" localSheetId="0">총괄!$A$1:$I$44</definedName>
    <definedName name="_xlnm.Print_Area">#REF!</definedName>
    <definedName name="Print_Area_MI">#REF!</definedName>
    <definedName name="PRINT_AREA_MI1">#REF!</definedName>
    <definedName name="print_title">#REF!</definedName>
    <definedName name="_xlnm.Print_Titles">#REF!</definedName>
    <definedName name="Print_Titles_MI">#REF!</definedName>
    <definedName name="PRINT_TITLES_MI1">#REF!</definedName>
    <definedName name="printarea">#REF!</definedName>
    <definedName name="PRO">#REF!</definedName>
    <definedName name="proj">#REF!</definedName>
    <definedName name="pucode">#REF!</definedName>
    <definedName name="PY_Accounts_Receivable">#REF!</definedName>
    <definedName name="PY_Administration">#REF!</definedName>
    <definedName name="PY_all_Equity">#REF!</definedName>
    <definedName name="PY_all_Income">#REF!</definedName>
    <definedName name="PY_all_RetEarn">#REF!</definedName>
    <definedName name="PY_Cash">#REF!</definedName>
    <definedName name="PY_Cash_Dev_Dec">#REF!</definedName>
    <definedName name="PY_Cash_Div_Dec">#REF!</definedName>
    <definedName name="PY_Common_Equity">#REF!</definedName>
    <definedName name="PY_Cost_of_Sales">#REF!</definedName>
    <definedName name="PY_Current_Liabilities">#REF!</definedName>
    <definedName name="PY_Depreciation">#REF!</definedName>
    <definedName name="PY_Gross_Profit">#REF!</definedName>
    <definedName name="PY_Inc_Bef_Tax">#REF!</definedName>
    <definedName name="PY_Intangible_Assets">#REF!</definedName>
    <definedName name="PY_Interest_Expense">#REF!</definedName>
    <definedName name="PY_Inventory">#REF!</definedName>
    <definedName name="PY_knw_Income">#REF!</definedName>
    <definedName name="PY_knw_RetEarn">#REF!</definedName>
    <definedName name="PY_LIABIL_EQUITY">#REF!</definedName>
    <definedName name="PY_lik_Income">#REF!</definedName>
    <definedName name="PY_lik_RetEarn">#REF!</definedName>
    <definedName name="PY_LT_Debt">#REF!</definedName>
    <definedName name="PY_Market_Value_of_Equity">#REF!</definedName>
    <definedName name="PY_Marketable_Sec">#REF!</definedName>
    <definedName name="PY_NET_PROFIT">#REF!</definedName>
    <definedName name="PY_Net_Revenue">#REF!</definedName>
    <definedName name="PY_Operating_Inc">#REF!</definedName>
    <definedName name="PY_Operating_Income">#REF!</definedName>
    <definedName name="PY_Other_Curr_Assets">#REF!</definedName>
    <definedName name="PY_Other_Exp">#REF!</definedName>
    <definedName name="PY_Other_LT_Assets">#REF!</definedName>
    <definedName name="PY_Other_LT_Liabilities">#REF!</definedName>
    <definedName name="PY_Preferred_Stock">#REF!</definedName>
    <definedName name="PY_QUICK_ASSETS">#REF!</definedName>
    <definedName name="PY_Retained_Earnings">#REF!</definedName>
    <definedName name="PY_Selling">#REF!</definedName>
    <definedName name="PY_Tangible_Assets">#REF!</definedName>
    <definedName name="PY_Tangible_Net_Worth">#REF!</definedName>
    <definedName name="PY_Taxes">#REF!</definedName>
    <definedName name="PY_tot_knw_Xfoot">#REF!</definedName>
    <definedName name="PY_tot_lik_Xfoot">#REF!</definedName>
    <definedName name="PY_TOTAL_ASSETS">#REF!</definedName>
    <definedName name="PY_TOTAL_CURR_ASSETS">#REF!</definedName>
    <definedName name="PY_TOTAL_DEBT">#REF!</definedName>
    <definedName name="PY_TOTAL_EQUITY">#REF!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2_Accounts_Receivable">#REF!</definedName>
    <definedName name="PY2_Administration">#REF!</definedName>
    <definedName name="PY2_Cash">#REF!</definedName>
    <definedName name="PY2_Cash_Dev_Dec">#REF!</definedName>
    <definedName name="PY2_Common_Equity">#REF!</definedName>
    <definedName name="PY2_Cost_of_Sales">#REF!</definedName>
    <definedName name="PY2_Current_Liabilities">#REF!</definedName>
    <definedName name="PY2_Depreciation">#REF!</definedName>
    <definedName name="PY2_Gross_Profit">#REF!</definedName>
    <definedName name="PY2_Inc_Bef_Tax">#REF!</definedName>
    <definedName name="PY2_Intangible_Assets">#REF!</definedName>
    <definedName name="PY2_Interest_Expense">#REF!</definedName>
    <definedName name="PY2_Inventory">#REF!</definedName>
    <definedName name="PY2_LIABIL_EQUITY">#REF!</definedName>
    <definedName name="PY2_LT_Debt">#REF!</definedName>
    <definedName name="PY2_Marketable_Sec">#REF!</definedName>
    <definedName name="PY2_NET_PROFIT">#REF!</definedName>
    <definedName name="PY2_Net_Revenue">#REF!</definedName>
    <definedName name="PY2_Operating_Inc">#REF!</definedName>
    <definedName name="PY2_Operating_Income">#REF!</definedName>
    <definedName name="PY2_Other_Curr_Assets">#REF!</definedName>
    <definedName name="PY2_Other_Exp.">#REF!</definedName>
    <definedName name="PY2_Other_LT_Assets">#REF!</definedName>
    <definedName name="PY2_Other_LT_Liabilities">#REF!</definedName>
    <definedName name="PY2_Preferred_Stock">#REF!</definedName>
    <definedName name="PY2_QUICK_ASSETS">#REF!</definedName>
    <definedName name="PY2_Retained_Earnings">#REF!</definedName>
    <definedName name="PY2_Selling">#REF!</definedName>
    <definedName name="PY2_Tangible_Assets">#REF!</definedName>
    <definedName name="PY2_Tangible_Net_Worth">#REF!</definedName>
    <definedName name="PY2_Taxes">#REF!</definedName>
    <definedName name="PY2_TOTAL_ASSETS">#REF!</definedName>
    <definedName name="PY2_TOTAL_CURR_ASSETS">#REF!</definedName>
    <definedName name="PY2_TOTAL_DEBT">#REF!</definedName>
    <definedName name="PY2_TOTAL_EQUITY">#REF!</definedName>
    <definedName name="PY2_Weighted_Average">#REF!</definedName>
    <definedName name="PY2_Working_Capital">#REF!</definedName>
    <definedName name="q"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qq"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qqq" hidden="1">{"'買掛金'!$J$6"}</definedName>
    <definedName name="RATIOS">#REF!</definedName>
    <definedName name="RATM">#REF!</definedName>
    <definedName name="readonhand">#REF!</definedName>
    <definedName name="_xlnm.Recorder">#REF!</definedName>
    <definedName name="Réel_N">#REF!</definedName>
    <definedName name="Reset">#REF!</definedName>
    <definedName name="RIGHT">#REF!</definedName>
    <definedName name="RKSK" hidden="1">#REF!</definedName>
    <definedName name="rm">#REF!</definedName>
    <definedName name="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S_CY_Beg_Data">#REF!</definedName>
    <definedName name="S_CY_End_Data">#REF!</definedName>
    <definedName name="S_PY_End_Data">#REF!</definedName>
    <definedName name="sang">#REF!</definedName>
    <definedName name="sang1">#REF!</definedName>
    <definedName name="sck" hidden="1">{#N/A,#N/A,FALSE,"BS";#N/A,#N/A,FALSE,"PL";#N/A,#N/A,FALSE,"처분";#N/A,#N/A,FALSE,"현금";#N/A,#N/A,FALSE,"매출";#N/A,#N/A,FALSE,"원가";#N/A,#N/A,FALSE,"경영"}</definedName>
    <definedName name="segvx" hidden="1">{"'買掛金'!$J$6"}</definedName>
    <definedName name="share_tog">#REF!</definedName>
    <definedName name="SHINKO">#REF!</definedName>
    <definedName name="shos">#REF!</definedName>
    <definedName name="spec">#REF!</definedName>
    <definedName name="ss" hidden="1">{#N/A,#N/A,FALSE,"Aging Summary";#N/A,#N/A,FALSE,"Ratio Analysis";#N/A,#N/A,FALSE,"Test 120 Day Accts";#N/A,#N/A,FALSE,"Tickmarks"}</definedName>
    <definedName name="sss" hidden="1">{#N/A,#N/A,FALSE,"Aging Summary";#N/A,#N/A,FALSE,"Ratio Analysis";#N/A,#N/A,FALSE,"Test 120 Day Accts";#N/A,#N/A,FALSE,"Tickmarks"}</definedName>
    <definedName name="ssss"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TABLE1">#REF!</definedName>
    <definedName name="Tax_Effect_Income">#REF!</definedName>
    <definedName name="Tax_Effect_Liabs">#REF!</definedName>
    <definedName name="Tax_Effect_RetEarn">#REF!</definedName>
    <definedName name="Tax_Rate">#REF!</definedName>
    <definedName name="term_value">#REF!</definedName>
    <definedName name="term_year">#REF!</definedName>
    <definedName name="TextRefCopy1">#REF!</definedName>
    <definedName name="TextRefCopy10">#REF!</definedName>
    <definedName name="TextRefCopy11">#REF!</definedName>
    <definedName name="TextRefCopy12">#REF!</definedName>
    <definedName name="TextRefCopy2">#REF!</definedName>
    <definedName name="TextRefCopy21">#REF!</definedName>
    <definedName name="TextRefCopy22">#REF!</definedName>
    <definedName name="TextRefCopy3">#REF!</definedName>
    <definedName name="TextRefCopy35">#REF!</definedName>
    <definedName name="TextRefCopy36">#REF!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2</definedName>
    <definedName name="Threshold">#REF!</definedName>
    <definedName name="Title">#REF!</definedName>
    <definedName name="Tot_knw_Xfoot">#REF!</definedName>
    <definedName name="Tot_lik_Xfoot">#REF!</definedName>
    <definedName name="TOTAL">#REF!</definedName>
    <definedName name="TOTAL1">#REF!</definedName>
    <definedName name="TOTAL2">#REF!</definedName>
    <definedName name="TOTAL3">#REF!</definedName>
    <definedName name="TPL">#REF!</definedName>
    <definedName name="tt">#REF!</definedName>
    <definedName name="TTPL">#REF!</definedName>
    <definedName name="unlev_fcf_rate">#REF!</definedName>
    <definedName name="value_date">#REF!</definedName>
    <definedName name="vds" hidden="1">{"'買掛金'!$J$6"}</definedName>
    <definedName name="vvv" hidden="1">{"'買掛金'!$J$6"}</definedName>
    <definedName name="vxccx" hidden="1">{"'買掛金'!$J$6"}</definedName>
    <definedName name="w" hidden="1">{#N/A,#N/A,FALSE,"Aging Summary";#N/A,#N/A,FALSE,"Ratio Analysis";#N/A,#N/A,FALSE,"Test 120 Day Accts";#N/A,#N/A,FALSE,"Tickmarks"}</definedName>
    <definedName name="WACC">#REF!</definedName>
    <definedName name="WACC_sen">#REF!</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hidden="1">{#N/A,#N/A,FALSE,"Aging Summary";#N/A,#N/A,FALSE,"Ratio Analysis";#N/A,#N/A,FALSE,"Test 120 Day Accts";#N/A,#N/A,FALSE,"Tickmarks"}</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tdavgshares">#REF!</definedName>
    <definedName name="ww"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www"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wwwwww" hidden="1">{#N/A,#N/A,FALSE,"Aging Summary";#N/A,#N/A,FALSE,"Ratio Analysis";#N/A,#N/A,FALSE,"Test 120 Day Accts";#N/A,#N/A,FALSE,"Tickmarks"}</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#REF!</definedName>
    <definedName name="XREF_COLUMN_35" hidden="1">#REF!</definedName>
    <definedName name="XREF_COLUMN_36" hidden="1">#REF!</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hidden="1">#REF!</definedName>
    <definedName name="XRefCopy10" hidden="1">#REF!</definedName>
    <definedName name="XRefCopy100" hidden="1">#REF!</definedName>
    <definedName name="XRefCopy101" hidden="1">#REF!</definedName>
    <definedName name="XRefCopy102" hidden="1">#REF!</definedName>
    <definedName name="XRefCopy103" hidden="1">#REF!</definedName>
    <definedName name="XRefCopy104" hidden="1">#REF!</definedName>
    <definedName name="XRefCopy105" hidden="1">#REF!</definedName>
    <definedName name="XRefCopy10Row" localSheetId="2" hidden="1">#REF!</definedName>
    <definedName name="XRefCopy10Row" localSheetId="4" hidden="1">#REF!</definedName>
    <definedName name="XRefCopy10Row" hidden="1">#REF!</definedName>
    <definedName name="XRefCopy11" hidden="1">#REF!</definedName>
    <definedName name="XRefCopy11Row" localSheetId="2" hidden="1">#REF!</definedName>
    <definedName name="XRefCopy11Row" localSheetId="4" hidden="1">#REF!</definedName>
    <definedName name="XRefCopy11Row" hidden="1">#REF!</definedName>
    <definedName name="XRefCopy12" hidden="1">#REF!</definedName>
    <definedName name="XRefCopy12Row" localSheetId="2" hidden="1">#REF!</definedName>
    <definedName name="XRefCopy12Row" localSheetId="4" hidden="1">#REF!</definedName>
    <definedName name="XRefCopy12Row" hidden="1">#REF!</definedName>
    <definedName name="XRefCopy13" hidden="1">#REF!</definedName>
    <definedName name="XRefCopy13Row" localSheetId="2" hidden="1">#REF!</definedName>
    <definedName name="XRefCopy13Row" localSheetId="4" hidden="1">#REF!</definedName>
    <definedName name="XRefCopy13Row" hidden="1">#REF!</definedName>
    <definedName name="XRefCopy14" hidden="1">#REF!</definedName>
    <definedName name="XRefCopy14Row" localSheetId="2" hidden="1">#REF!</definedName>
    <definedName name="XRefCopy14Row" localSheetId="4" hidden="1">#REF!</definedName>
    <definedName name="XRefCopy14Row" hidden="1">#REF!</definedName>
    <definedName name="XRefCopy15" hidden="1">#REF!</definedName>
    <definedName name="XRefCopy15Row" localSheetId="2" hidden="1">#REF!</definedName>
    <definedName name="XRefCopy15Row" localSheetId="4" hidden="1">#REF!</definedName>
    <definedName name="XRefCopy15Row" hidden="1">#REF!</definedName>
    <definedName name="XRefCopy16" hidden="1">#REF!</definedName>
    <definedName name="XRefCopy16Row" hidden="1">#REF!</definedName>
    <definedName name="XRefCopy17" hidden="1">#REF!</definedName>
    <definedName name="XRefCopy17Row" localSheetId="2" hidden="1">#REF!</definedName>
    <definedName name="XRefCopy17Row" localSheetId="4" hidden="1">#REF!</definedName>
    <definedName name="XRefCopy17Row" hidden="1">#REF!</definedName>
    <definedName name="XRefCopy18" hidden="1">#REF!</definedName>
    <definedName name="XRefCopy18Row" localSheetId="2" hidden="1">#REF!</definedName>
    <definedName name="XRefCopy18Row" localSheetId="4" hidden="1">#REF!</definedName>
    <definedName name="XRefCopy18Row" hidden="1">#REF!</definedName>
    <definedName name="XRefCopy19" hidden="1">#REF!</definedName>
    <definedName name="XRefCopy19Row" localSheetId="2" hidden="1">#REF!</definedName>
    <definedName name="XRefCopy19Row" localSheetId="4" hidden="1">#REF!</definedName>
    <definedName name="XRefCopy19Row" hidden="1">#REF!</definedName>
    <definedName name="XRefCopy1Row" localSheetId="2" hidden="1">#REF!</definedName>
    <definedName name="XRefCopy1Row" localSheetId="4" hidden="1">#REF!</definedName>
    <definedName name="XRefCopy1Row" hidden="1">#REF!</definedName>
    <definedName name="XRefCopy2" hidden="1">#REF!</definedName>
    <definedName name="XRefCopy20" hidden="1">#REF!</definedName>
    <definedName name="XRefCopy20Row" localSheetId="2" hidden="1">#REF!</definedName>
    <definedName name="XRefCopy20Row" localSheetId="4" hidden="1">#REF!</definedName>
    <definedName name="XRefCopy20Row" hidden="1">#REF!</definedName>
    <definedName name="XRefCopy21" hidden="1">#REF!</definedName>
    <definedName name="XRefCopy21Row" localSheetId="2" hidden="1">#REF!</definedName>
    <definedName name="XRefCopy21Row" localSheetId="4" hidden="1">#REF!</definedName>
    <definedName name="XRefCopy21Row" hidden="1">#REF!</definedName>
    <definedName name="XRefCopy22" hidden="1">#REF!</definedName>
    <definedName name="XRefCopy22Row" localSheetId="2" hidden="1">#REF!</definedName>
    <definedName name="XRefCopy22Row" localSheetId="4" hidden="1">#REF!</definedName>
    <definedName name="XRefCopy22Row" hidden="1">#REF!</definedName>
    <definedName name="XRefCopy23" hidden="1">#REF!</definedName>
    <definedName name="XRefCopy23Row" localSheetId="2" hidden="1">#REF!</definedName>
    <definedName name="XRefCopy23Row" localSheetId="4" hidden="1">#REF!</definedName>
    <definedName name="XRefCopy23Row" hidden="1">#REF!</definedName>
    <definedName name="XRefCopy24" hidden="1">#REF!</definedName>
    <definedName name="XRefCopy24Row" localSheetId="2" hidden="1">#REF!</definedName>
    <definedName name="XRefCopy24Row" localSheetId="4" hidden="1">#REF!</definedName>
    <definedName name="XRefCopy24Row" hidden="1">#REF!</definedName>
    <definedName name="XRefCopy25" hidden="1">#REF!</definedName>
    <definedName name="XRefCopy25Row" localSheetId="2" hidden="1">#REF!</definedName>
    <definedName name="XRefCopy25Row" localSheetId="4" hidden="1">#REF!</definedName>
    <definedName name="XRefCopy25Row" hidden="1">#REF!</definedName>
    <definedName name="XRefCopy26" hidden="1">#REF!</definedName>
    <definedName name="XRefCopy26Row" localSheetId="2" hidden="1">#REF!</definedName>
    <definedName name="XRefCopy26Row" localSheetId="4" hidden="1">#REF!</definedName>
    <definedName name="XRefCopy26Row" hidden="1">#REF!</definedName>
    <definedName name="XRefCopy27" hidden="1">#REF!</definedName>
    <definedName name="XRefCopy27Row" hidden="1">#REF!</definedName>
    <definedName name="XRefCopy28" hidden="1">#REF!</definedName>
    <definedName name="XRefCopy29" hidden="1">#REF!</definedName>
    <definedName name="XRefCopy29Row" hidden="1">#REF!</definedName>
    <definedName name="XRefCopy2Row" localSheetId="2" hidden="1">#REF!</definedName>
    <definedName name="XRefCopy2Row" localSheetId="4" hidden="1">#REF!</definedName>
    <definedName name="XRefCopy2Row" hidden="1">#REF!</definedName>
    <definedName name="XRefCopy3" hidden="1">#REF!</definedName>
    <definedName name="XRefCopy30"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localSheetId="2" hidden="1">#REF!</definedName>
    <definedName name="XRefCopy3Row" localSheetId="4"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7" hidden="1">#REF!</definedName>
    <definedName name="XRefCopy47Row" hidden="1">#REF!</definedName>
    <definedName name="XRefCopy48" hidden="1">#REF!</definedName>
    <definedName name="XRefCopy49" hidden="1">#REF!</definedName>
    <definedName name="XRefCopy4Row" localSheetId="2" hidden="1">#REF!</definedName>
    <definedName name="XRefCopy4Row" localSheetId="4" hidden="1">#REF!</definedName>
    <definedName name="XRefCopy4Row" hidden="1">#REF!</definedName>
    <definedName name="XRefCopy5" hidden="1">#REF!</definedName>
    <definedName name="XRefCopy50" hidden="1">#REF!</definedName>
    <definedName name="XRefCopy51" hidden="1">#REF!</definedName>
    <definedName name="XRefCopy52" hidden="1">#REF!</definedName>
    <definedName name="XRefCopy53" hidden="1">#REF!</definedName>
    <definedName name="XRefCopy54" hidden="1">#REF!</definedName>
    <definedName name="XRefCopy55" hidden="1">#REF!</definedName>
    <definedName name="XRefCopy56" hidden="1">#REF!</definedName>
    <definedName name="XRefCopy57" hidden="1">#REF!</definedName>
    <definedName name="XRefCopy58" hidden="1">#REF!</definedName>
    <definedName name="XRefCopy59" hidden="1">#REF!</definedName>
    <definedName name="XRefCopy5Row" localSheetId="2" hidden="1">#REF!</definedName>
    <definedName name="XRefCopy5Row" localSheetId="4" hidden="1">#REF!</definedName>
    <definedName name="XRefCopy5Row" hidden="1">#REF!</definedName>
    <definedName name="XRefCopy6" hidden="1">#REF!</definedName>
    <definedName name="XRefCopy60" hidden="1">#REF!</definedName>
    <definedName name="XRefCopy61" hidden="1">#REF!</definedName>
    <definedName name="XRefCopy62" hidden="1">#REF!</definedName>
    <definedName name="XRefCopy63" hidden="1">#REF!</definedName>
    <definedName name="XRefCopy64" hidden="1">#REF!</definedName>
    <definedName name="XRefCopy65" hidden="1">#REF!</definedName>
    <definedName name="XRefCopy66" hidden="1">#REF!</definedName>
    <definedName name="XRefCopy67" hidden="1">#REF!</definedName>
    <definedName name="XRefCopy69" hidden="1">#REF!</definedName>
    <definedName name="XRefCopy6Row" localSheetId="2" hidden="1">#REF!</definedName>
    <definedName name="XRefCopy6Row" localSheetId="4"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4" hidden="1">#REF!</definedName>
    <definedName name="XRefCopy76" hidden="1">#REF!</definedName>
    <definedName name="XRefCopy77" hidden="1">#REF!</definedName>
    <definedName name="XRefCopy78" hidden="1">#REF!</definedName>
    <definedName name="XRefCopy79" hidden="1">#REF!</definedName>
    <definedName name="XRefCopy7Row" localSheetId="2" hidden="1">#REF!</definedName>
    <definedName name="XRefCopy7Row" localSheetId="4" hidden="1">#REF!</definedName>
    <definedName name="XRefCopy7Row" hidden="1">#REF!</definedName>
    <definedName name="XRefCopy8" hidden="1">#REF!</definedName>
    <definedName name="XRefCopy80" hidden="1">#REF!</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localSheetId="2" hidden="1">#REF!</definedName>
    <definedName name="XRefCopy8Row" localSheetId="4"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localSheetId="2" hidden="1">#REF!</definedName>
    <definedName name="XRefCopy9Row" localSheetId="4" hidden="1">#REF!</definedName>
    <definedName name="XRefCopy9Row" hidden="1">#REF!</definedName>
    <definedName name="XRefCopyRangeCount" hidden="1">26</definedName>
    <definedName name="XRefPaste1" hidden="1">#REF!</definedName>
    <definedName name="XRefPaste10" hidden="1">#REF!</definedName>
    <definedName name="XRefPaste105" hidden="1">#REF!</definedName>
    <definedName name="XRefPaste106" hidden="1">#REF!</definedName>
    <definedName name="XRefPaste107" hidden="1">#REF!</definedName>
    <definedName name="XRefPaste108" hidden="1">#REF!</definedName>
    <definedName name="XRefPaste109" hidden="1">#REF!</definedName>
    <definedName name="XRefPaste10Row" localSheetId="2" hidden="1">#REF!</definedName>
    <definedName name="XRefPaste10Row" localSheetId="4"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Row" localSheetId="2" hidden="1">#REF!</definedName>
    <definedName name="XRefPaste11Row" localSheetId="4" hidden="1">#REF!</definedName>
    <definedName name="XRefPaste11Row" hidden="1">#REF!</definedName>
    <definedName name="XRefPaste12" hidden="1">#REF!</definedName>
    <definedName name="XRefPaste12Row" localSheetId="2" hidden="1">#REF!</definedName>
    <definedName name="XRefPaste12Row" localSheetId="4" hidden="1">#REF!</definedName>
    <definedName name="XRefPaste12Row" hidden="1">#REF!</definedName>
    <definedName name="XRefPaste13" hidden="1">#REF!</definedName>
    <definedName name="XRefPaste13Row" localSheetId="2" hidden="1">#REF!</definedName>
    <definedName name="XRefPaste13Row" localSheetId="4" hidden="1">#REF!</definedName>
    <definedName name="XRefPaste13Row" hidden="1">#REF!</definedName>
    <definedName name="XRefPaste14"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Row" hidden="1">#REF!</definedName>
    <definedName name="XRefPaste14Row" localSheetId="2" hidden="1">#REF!</definedName>
    <definedName name="XRefPaste14Row" localSheetId="4" hidden="1">#REF!</definedName>
    <definedName name="XRefPaste14Row" hidden="1">#REF!</definedName>
    <definedName name="XRefPaste15" hidden="1">#REF!</definedName>
    <definedName name="XRefPaste151" hidden="1">#REF!</definedName>
    <definedName name="XRefPaste153" hidden="1">#REF!</definedName>
    <definedName name="XRefPaste154" hidden="1">#REF!</definedName>
    <definedName name="XRefPaste155" hidden="1">#REF!</definedName>
    <definedName name="XRefPaste15Row" localSheetId="2" hidden="1">#REF!</definedName>
    <definedName name="XRefPaste15Row" localSheetId="4" hidden="1">#REF!</definedName>
    <definedName name="XRefPaste15Row" hidden="1">#REF!</definedName>
    <definedName name="XRefPaste16" hidden="1">#REF!</definedName>
    <definedName name="XRefPaste16Row" localSheetId="2" hidden="1">#REF!</definedName>
    <definedName name="XRefPaste16Row" localSheetId="4" hidden="1">#REF!</definedName>
    <definedName name="XRefPaste16Row" hidden="1">#REF!</definedName>
    <definedName name="XRefPaste17" hidden="1">#REF!</definedName>
    <definedName name="XRefPaste179" hidden="1">#REF!</definedName>
    <definedName name="XRefPaste17Row" localSheetId="2" hidden="1">#REF!</definedName>
    <definedName name="XRefPaste17Row" localSheetId="4"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2" hidden="1">#REF!</definedName>
    <definedName name="XRefPaste18Row" localSheetId="2" hidden="1">#REF!</definedName>
    <definedName name="XRefPaste18Row" localSheetId="4" hidden="1">#REF!</definedName>
    <definedName name="XRefPaste18Row" hidden="1">#REF!</definedName>
    <definedName name="XRefPaste19" hidden="1">#REF!</definedName>
    <definedName name="XRefPaste192Row" hidden="1">#REF!</definedName>
    <definedName name="XRefPaste198" hidden="1">#REF!</definedName>
    <definedName name="XRefPaste199" hidden="1">#REF!</definedName>
    <definedName name="XRefPaste199Row" hidden="1">#REF!</definedName>
    <definedName name="XRefPaste19Row" localSheetId="2" hidden="1">#REF!</definedName>
    <definedName name="XRefPaste19Row" localSheetId="4" hidden="1">#REF!</definedName>
    <definedName name="XRefPaste19Row" hidden="1">#REF!</definedName>
    <definedName name="XRefPaste1Row" localSheetId="2" hidden="1">#REF!</definedName>
    <definedName name="XRefPaste1Row" localSheetId="4"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9" hidden="1">#REF!</definedName>
    <definedName name="XRefPaste209Row" hidden="1">#REF!</definedName>
    <definedName name="XRefPaste20Row" localSheetId="2" hidden="1">#REF!</definedName>
    <definedName name="XRefPaste20Row" localSheetId="4"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localSheetId="2" hidden="1">#REF!</definedName>
    <definedName name="XRefPaste21Row" localSheetId="4"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localSheetId="2" hidden="1">#REF!</definedName>
    <definedName name="XRefPaste22Row" localSheetId="4"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Row" hidden="1">#REF!</definedName>
    <definedName name="XRefPaste234Row" hidden="1">#REF!</definedName>
    <definedName name="XRefPaste235" hidden="1">#REF!</definedName>
    <definedName name="XRefPaste235Row" hidden="1">#REF!</definedName>
    <definedName name="XRefPaste237Row" hidden="1">#REF!</definedName>
    <definedName name="XRefPaste238Row" hidden="1">#REF!</definedName>
    <definedName name="XRefPaste239Row" hidden="1">#REF!</definedName>
    <definedName name="XRefPaste23Row" localSheetId="2" hidden="1">#REF!</definedName>
    <definedName name="XRefPaste23Row" localSheetId="4" hidden="1">#REF!</definedName>
    <definedName name="XRefPaste23Row" hidden="1">#REF!</definedName>
    <definedName name="XRefPaste24" hidden="1">#REF!</definedName>
    <definedName name="XRefPaste240Row" hidden="1">#REF!</definedName>
    <definedName name="XRefPaste241Row" hidden="1">#REF!</definedName>
    <definedName name="XRefPaste242Row" hidden="1">#REF!</definedName>
    <definedName name="XRefPaste243Row" hidden="1">#REF!</definedName>
    <definedName name="XRefPaste244Row" hidden="1">#REF!</definedName>
    <definedName name="XRefPaste245Row" hidden="1">#REF!</definedName>
    <definedName name="XRefPaste24Row" localSheetId="2" hidden="1">#REF!</definedName>
    <definedName name="XRefPaste24Row" localSheetId="4" hidden="1">#REF!</definedName>
    <definedName name="XRefPaste24Row" hidden="1">#REF!</definedName>
    <definedName name="XRefPaste25" hidden="1">#REF!</definedName>
    <definedName name="XRefPaste25Row" localSheetId="2" hidden="1">#REF!</definedName>
    <definedName name="XRefPaste25Row" localSheetId="4" hidden="1">#REF!</definedName>
    <definedName name="XRefPaste25Row" hidden="1">#REF!</definedName>
    <definedName name="XRefPaste26" hidden="1">#REF!</definedName>
    <definedName name="XRefPaste26Row" localSheetId="2" hidden="1">#REF!</definedName>
    <definedName name="XRefPaste26Row" localSheetId="4" hidden="1">#REF!</definedName>
    <definedName name="XRefPaste26Row" hidden="1">#REF!</definedName>
    <definedName name="XRefPaste27" hidden="1">#REF!</definedName>
    <definedName name="XRefPaste27Row" localSheetId="2" hidden="1">#REF!</definedName>
    <definedName name="XRefPaste27Row" localSheetId="4" hidden="1">#REF!</definedName>
    <definedName name="XRefPaste27Row" hidden="1">#REF!</definedName>
    <definedName name="XRefPaste28" hidden="1">#REF!</definedName>
    <definedName name="XRefPaste28Row" localSheetId="2" hidden="1">#REF!</definedName>
    <definedName name="XRefPaste28Row" localSheetId="4" hidden="1">#REF!</definedName>
    <definedName name="XRefPaste28Row" hidden="1">#REF!</definedName>
    <definedName name="XRefPaste29" hidden="1">#REF!</definedName>
    <definedName name="XRefPaste29Row" localSheetId="2" hidden="1">#REF!</definedName>
    <definedName name="XRefPaste29Row" localSheetId="4" hidden="1">#REF!</definedName>
    <definedName name="XRefPaste29Row" hidden="1">#REF!</definedName>
    <definedName name="XRefPaste2Row" localSheetId="2" hidden="1">#REF!</definedName>
    <definedName name="XRefPaste2Row" localSheetId="4" hidden="1">#REF!</definedName>
    <definedName name="XRefPaste2Row" hidden="1">#REF!</definedName>
    <definedName name="XRefPaste3" hidden="1">#REF!</definedName>
    <definedName name="XRefPaste30" hidden="1">#REF!</definedName>
    <definedName name="XRefPaste30Row" localSheetId="2" hidden="1">#REF!</definedName>
    <definedName name="XRefPaste30Row" localSheetId="4" hidden="1">#REF!</definedName>
    <definedName name="XRefPaste30Row" hidden="1">#REF!</definedName>
    <definedName name="XRefPaste31" hidden="1">#REF!</definedName>
    <definedName name="XRefPaste31Row" localSheetId="2" hidden="1">#REF!</definedName>
    <definedName name="XRefPaste31Row" localSheetId="4" hidden="1">#REF!</definedName>
    <definedName name="XRefPaste31Row" hidden="1">#REF!</definedName>
    <definedName name="XRefPaste32" hidden="1">#REF!</definedName>
    <definedName name="XRefPaste32Row" localSheetId="2" hidden="1">#REF!</definedName>
    <definedName name="XRefPaste32Row" localSheetId="4" hidden="1">#REF!</definedName>
    <definedName name="XRefPaste32Row" hidden="1">#REF!</definedName>
    <definedName name="XRefPaste33" hidden="1">#REF!</definedName>
    <definedName name="XRefPaste33Row" localSheetId="2" hidden="1">#REF!</definedName>
    <definedName name="XRefPaste33Row" localSheetId="4" hidden="1">#REF!</definedName>
    <definedName name="XRefPaste33Row" hidden="1">#REF!</definedName>
    <definedName name="XRefPaste34" hidden="1">#REF!</definedName>
    <definedName name="XRefPaste34Row" localSheetId="2" hidden="1">#REF!</definedName>
    <definedName name="XRefPaste34Row" localSheetId="4" hidden="1">#REF!</definedName>
    <definedName name="XRefPaste34Row" hidden="1">#REF!</definedName>
    <definedName name="XRefPaste35" hidden="1">#REF!</definedName>
    <definedName name="XRefPaste35Row" localSheetId="2" hidden="1">#REF!</definedName>
    <definedName name="XRefPaste35Row" localSheetId="4" hidden="1">#REF!</definedName>
    <definedName name="XRefPaste35Row" hidden="1">#REF!</definedName>
    <definedName name="XRefPaste36" hidden="1">#REF!</definedName>
    <definedName name="XRefPaste36Row" localSheetId="2" hidden="1">#REF!</definedName>
    <definedName name="XRefPaste36Row" localSheetId="4" hidden="1">#REF!</definedName>
    <definedName name="XRefPaste36Row" hidden="1">#REF!</definedName>
    <definedName name="XRefPaste37" hidden="1">#REF!</definedName>
    <definedName name="XRefPaste37Row" localSheetId="2" hidden="1">#REF!</definedName>
    <definedName name="XRefPaste37Row" localSheetId="4" hidden="1">#REF!</definedName>
    <definedName name="XRefPaste37Row" hidden="1">#REF!</definedName>
    <definedName name="XRefPaste38" hidden="1">#REF!</definedName>
    <definedName name="XRefPaste38Row" localSheetId="2" hidden="1">#REF!</definedName>
    <definedName name="XRefPaste38Row" localSheetId="4" hidden="1">#REF!</definedName>
    <definedName name="XRefPaste38Row" hidden="1">#REF!</definedName>
    <definedName name="XRefPaste39" hidden="1">#REF!</definedName>
    <definedName name="XRefPaste39Row" localSheetId="2" hidden="1">#REF!</definedName>
    <definedName name="XRefPaste39Row" localSheetId="4" hidden="1">#REF!</definedName>
    <definedName name="XRefPaste39Row" hidden="1">#REF!</definedName>
    <definedName name="XRefPaste3Row" localSheetId="2" hidden="1">#REF!</definedName>
    <definedName name="XRefPaste3Row" localSheetId="4" hidden="1">#REF!</definedName>
    <definedName name="XRefPaste3Row" hidden="1">#REF!</definedName>
    <definedName name="XRefPaste4" hidden="1">#REF!</definedName>
    <definedName name="XRefPaste40" hidden="1">#REF!</definedName>
    <definedName name="XRefPaste40Row" localSheetId="2" hidden="1">#REF!</definedName>
    <definedName name="XRefPaste40Row" localSheetId="4" hidden="1">#REF!</definedName>
    <definedName name="XRefPaste40Row" hidden="1">#REF!</definedName>
    <definedName name="XRefPaste41" hidden="1">#REF!</definedName>
    <definedName name="XRefPaste41Row" localSheetId="2" hidden="1">#REF!</definedName>
    <definedName name="XRefPaste41Row" localSheetId="4" hidden="1">#REF!</definedName>
    <definedName name="XRefPaste41Row" hidden="1">#REF!</definedName>
    <definedName name="XRefPaste42" hidden="1">#REF!</definedName>
    <definedName name="XRefPaste42Row" localSheetId="2" hidden="1">#REF!</definedName>
    <definedName name="XRefPaste42Row" localSheetId="4" hidden="1">#REF!</definedName>
    <definedName name="XRefPaste42Row" hidden="1">#REF!</definedName>
    <definedName name="XRefPaste43" hidden="1">#REF!</definedName>
    <definedName name="XRefPaste43Row" localSheetId="2" hidden="1">#REF!</definedName>
    <definedName name="XRefPaste43Row" localSheetId="4" hidden="1">#REF!</definedName>
    <definedName name="XRefPaste43Row" hidden="1">#REF!</definedName>
    <definedName name="XRefPaste44" hidden="1">#REF!</definedName>
    <definedName name="XRefPaste45" hidden="1">#REF!</definedName>
    <definedName name="XRefPaste46" hidden="1">#REF!</definedName>
    <definedName name="XRefPaste47" hidden="1">#REF!</definedName>
    <definedName name="XRefPaste48" hidden="1">#REF!</definedName>
    <definedName name="XRefPaste49" hidden="1">#REF!</definedName>
    <definedName name="XRefPaste4Row" localSheetId="2" hidden="1">#REF!</definedName>
    <definedName name="XRefPaste4Row" localSheetId="4" hidden="1">#REF!</definedName>
    <definedName name="XRefPaste4Row" hidden="1">#REF!</definedName>
    <definedName name="XRefPaste5" hidden="1">#REF!</definedName>
    <definedName name="XRefPaste50" hidden="1">#REF!</definedName>
    <definedName name="XRefPaste51" hidden="1">#REF!</definedName>
    <definedName name="XRefPaste52" hidden="1">#REF!</definedName>
    <definedName name="XRefPaste53" hidden="1">#REF!</definedName>
    <definedName name="XRefPaste54" hidden="1">#REF!</definedName>
    <definedName name="XRefPaste55" hidden="1">#REF!</definedName>
    <definedName name="XRefPaste56" hidden="1">#REF!</definedName>
    <definedName name="XRefPaste58" hidden="1">#REF!</definedName>
    <definedName name="XRefPaste59" hidden="1">#REF!</definedName>
    <definedName name="XRefPaste5Row" localSheetId="2" hidden="1">#REF!</definedName>
    <definedName name="XRefPaste5Row" localSheetId="4" hidden="1">#REF!</definedName>
    <definedName name="XRefPaste5Row" hidden="1">#REF!</definedName>
    <definedName name="XRefPaste6" hidden="1">#REF!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#REF!</definedName>
    <definedName name="XRefPaste67" hidden="1">#REF!</definedName>
    <definedName name="XRefPaste68" hidden="1">#REF!</definedName>
    <definedName name="XRefPaste69" hidden="1">#REF!</definedName>
    <definedName name="XRefPaste6Row" localSheetId="2" hidden="1">#REF!</definedName>
    <definedName name="XRefPaste6Row" localSheetId="4"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localSheetId="2" hidden="1">#REF!</definedName>
    <definedName name="XRefPaste7Row" localSheetId="4"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Row" localSheetId="2" hidden="1">#REF!</definedName>
    <definedName name="XRefPaste8Row" localSheetId="4" hidden="1">#REF!</definedName>
    <definedName name="XRefPaste8Row" hidden="1">#REF!</definedName>
    <definedName name="XRefPaste9" hidden="1">#REF!</definedName>
    <definedName name="XRefPaste90" hidden="1">#REF!</definedName>
    <definedName name="XRefPaste91" hidden="1">#REF!</definedName>
    <definedName name="XRefPaste9Row" localSheetId="2" hidden="1">#REF!</definedName>
    <definedName name="XRefPaste9Row" localSheetId="4" hidden="1">#REF!</definedName>
    <definedName name="XRefPaste9Row" hidden="1">#REF!</definedName>
    <definedName name="XRefPasteRangeCount" hidden="1">43</definedName>
    <definedName name="year">#REF!</definedName>
    <definedName name="YEAREND">#REF!</definedName>
    <definedName name="yesno">#REF!</definedName>
    <definedName name="Z" hidden="1">#REF!</definedName>
    <definedName name="za">#REF!</definedName>
    <definedName name="Ε_샥dⅨ">#REF!</definedName>
    <definedName name="あああ" hidden="1">{"'買掛金'!$J$6"}</definedName>
    <definedName name="セイコー電子工業株式会社">#REF!</definedName>
    <definedName name="その他の投資" hidden="1">{"'買掛金'!$J$6"}</definedName>
    <definedName name="その他流動Database">#REF!</definedName>
    <definedName name="っっｂ" hidden="1">{"'買掛金'!$J$6"}</definedName>
    <definedName name="テスト" hidden="1">{"'買掛金'!$J$6"}</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나다">#REF!</definedName>
    <definedName name="仮払金Database">#REF!</definedName>
    <definedName name="가설재">#REF!</definedName>
    <definedName name="강관내수">#REF!</definedName>
    <definedName name="강관수출">#REF!</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거래처">#REF!</definedName>
    <definedName name="거래처CODE">#REF!</definedName>
    <definedName name="거래처주소">#REF!</definedName>
    <definedName name="건물" hidden="1">{#N/A,#N/A,FALSE,"BS";#N/A,#N/A,FALSE,"PL";#N/A,#N/A,FALSE,"처분";#N/A,#N/A,FALSE,"현금";#N/A,#N/A,FALSE,"매출";#N/A,#N/A,FALSE,"원가";#N/A,#N/A,FALSE,"경영"}</definedName>
    <definedName name="검사번호">#REF!</definedName>
    <definedName name="견적총액2002">#REF!</definedName>
    <definedName name="계약총액">#REF!</definedName>
    <definedName name="계약총액2002">#REF!</definedName>
    <definedName name="계정과목">#REF!</definedName>
    <definedName name="계정과목주소">#REF!</definedName>
    <definedName name="計定明細.書2.A">#REF!</definedName>
    <definedName name="計定明細.書2.B">#REF!</definedName>
    <definedName name="計定明細.書2.D">#REF!</definedName>
    <definedName name="계정코드">#REF!</definedName>
    <definedName name="계정항목">#REF!</definedName>
    <definedName name="계항거">#REF!</definedName>
    <definedName name="공사수입" hidden="1">{#N/A,#N/A,FALSE,"BS";#N/A,#N/A,FALSE,"PL";#N/A,#N/A,FALSE,"처분";#N/A,#N/A,FALSE,"현금";#N/A,#N/A,FALSE,"매출";#N/A,#N/A,FALSE,"원가";#N/A,#N/A,FALSE,"경영"}</definedName>
    <definedName name="공정명">#REF!</definedName>
    <definedName name="관할세무서지">#REF!</definedName>
    <definedName name="국문2" hidden="1">{#N/A,#N/A,FALSE,"BS";#N/A,#N/A,FALSE,"PL";#N/A,#N/A,FALSE,"처분";#N/A,#N/A,FALSE,"현금";#N/A,#N/A,FALSE,"매출";#N/A,#N/A,FALSE,"원가";#N/A,#N/A,FALSE,"경영"}</definedName>
    <definedName name="국문3" hidden="1">{#N/A,#N/A,FALSE,"BS";#N/A,#N/A,FALSE,"PL";#N/A,#N/A,FALSE,"A";#N/A,#N/A,FALSE,"B";#N/A,#N/A,FALSE,"B1";#N/A,#N/A,FALSE,"C";#N/A,#N/A,FALSE,"C1";#N/A,#N/A,FALSE,"C2";#N/A,#N/A,FALSE,"D";#N/A,#N/A,FALSE,"E";#N/A,#N/A,FALSE,"F";#N/A,#N/A,FALSE,"AA";#N/A,#N/A,FALSE,"BB";#N/A,#N/A,FALSE,"CC";#N/A,#N/A,FALSE,"DD";#N/A,#N/A,FALSE,"EE";#N/A,#N/A,FALSE,"FF";#N/A,#N/A,FALSE,"PL10";#N/A,#N/A,FALSE,"PL20";#N/A,#N/A,FALSE,"PL30"}</definedName>
    <definedName name="국민연금전환금">#REF!</definedName>
    <definedName name="규격">#REF!</definedName>
    <definedName name="금액">#REF!</definedName>
    <definedName name="기말">#REF!</definedName>
    <definedName name="기말고정부채">#REF!</definedName>
    <definedName name="기말당좌자산">#REF!</definedName>
    <definedName name="기말매출채권">#REF!</definedName>
    <definedName name="기말부채총계">#REF!</definedName>
    <definedName name="기말원재료">#REF!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재공품">#REF!</definedName>
    <definedName name="기말저장품">#REF!</definedName>
    <definedName name="기말제품재고액">#REF!</definedName>
    <definedName name="기준일96">#REF!</definedName>
    <definedName name="기초">#REF!</definedName>
    <definedName name="기초매출채권">#REF!</definedName>
    <definedName name="기초원재료">#REF!</definedName>
    <definedName name="기초자기자본">#REF!</definedName>
    <definedName name="기초자산총계">#REF!</definedName>
    <definedName name="기초재고자산">#REF!</definedName>
    <definedName name="기초재공품">#REF!</definedName>
    <definedName name="기초저장품">#REF!</definedName>
    <definedName name="기초제품재고액">#REF!</definedName>
    <definedName name="기타매출">#REF!</definedName>
    <definedName name="기타매출원가">#REF!</definedName>
    <definedName name="기타수입" hidden="1">{#N/A,#N/A,FALSE,"BS";#N/A,#N/A,FALSE,"PL";#N/A,#N/A,FALSE,"A";#N/A,#N/A,FALSE,"B";#N/A,#N/A,FALSE,"B1";#N/A,#N/A,FALSE,"C";#N/A,#N/A,FALSE,"C1";#N/A,#N/A,FALSE,"C2";#N/A,#N/A,FALSE,"D";#N/A,#N/A,FALSE,"E";#N/A,#N/A,FALSE,"F";#N/A,#N/A,FALSE,"AA";#N/A,#N/A,FALSE,"BB";#N/A,#N/A,FALSE,"CC";#N/A,#N/A,FALSE,"DD";#N/A,#N/A,FALSE,"EE";#N/A,#N/A,FALSE,"FF";#N/A,#N/A,FALSE,"PL10";#N/A,#N/A,FALSE,"PL20";#N/A,#N/A,FALSE,"PL30"}</definedName>
    <definedName name="기표일자">#REF!</definedName>
    <definedName name="기표현황">#REF!</definedName>
    <definedName name="김">#REF!</definedName>
    <definedName name="ㄴㄹㅇㄹㅇㄴ" hidden="1">{#N/A,#N/A,FALSE,"Aging Summary";#N/A,#N/A,FALSE,"Ratio Analysis";#N/A,#N/A,FALSE,"Test 120 Day Accts";#N/A,#N/A,FALSE,"Tickmarks"}</definedName>
    <definedName name="ㄴㄻㅁ" hidden="1">{#N/A,#N/A,FALSE,"BS";#N/A,#N/A,FALSE,"PL";#N/A,#N/A,FALSE,"처분";#N/A,#N/A,FALSE,"현금";#N/A,#N/A,FALSE,"매출";#N/A,#N/A,FALSE,"원가";#N/A,#N/A,FALSE,"경영"}</definedName>
    <definedName name="ㄴㅁㅇ" hidden="1">{#N/A,#N/A,FALSE,"BS";#N/A,#N/A,FALSE,"PL";#N/A,#N/A,FALSE,"A";#N/A,#N/A,FALSE,"B";#N/A,#N/A,FALSE,"B1";#N/A,#N/A,FALSE,"C";#N/A,#N/A,FALSE,"C1";#N/A,#N/A,FALSE,"C2";#N/A,#N/A,FALSE,"D";#N/A,#N/A,FALSE,"E";#N/A,#N/A,FALSE,"F";#N/A,#N/A,FALSE,"AA";#N/A,#N/A,FALSE,"BB";#N/A,#N/A,FALSE,"CC";#N/A,#N/A,FALSE,"DD";#N/A,#N/A,FALSE,"EE";#N/A,#N/A,FALSE,"FF";#N/A,#N/A,FALSE,"PL10";#N/A,#N/A,FALSE,"PL20";#N/A,#N/A,FALSE,"PL30"}</definedName>
    <definedName name="년___월___일_까지">#REF!</definedName>
    <definedName name="년간상여지급율96">#REF!</definedName>
    <definedName name="년도말환율">#REF!</definedName>
    <definedName name="년평균환율">#REF!</definedName>
    <definedName name="ㄷ">#REF!</definedName>
    <definedName name="ㄷㄷ"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단가">#REF!</definedName>
    <definedName name="短期貸付金Database">#REF!</definedName>
    <definedName name="短期借入Database">#REF!</definedName>
    <definedName name="단기차입금" hidden="1">{#N/A,#N/A,FALSE,"Aging Summary";#N/A,#N/A,FALSE,"Ratio Analysis";#N/A,#N/A,FALSE,"Test 120 Day Accts";#N/A,#N/A,FALSE,"Tickmarks"}</definedName>
    <definedName name="短期借入金" hidden="1">{"'買掛金'!$J$6"}</definedName>
    <definedName name="단위">#REF!</definedName>
    <definedName name="단퇴충당금전입액">#REF!</definedName>
    <definedName name="당" hidden="1">{#N/A,#N/A,FALSE,"BS";#N/A,#N/A,FALSE,"PL";#N/A,#N/A,FALSE,"처분";#N/A,#N/A,FALSE,"현금";#N/A,#N/A,FALSE,"매출";#N/A,#N/A,FALSE,"원가";#N/A,#N/A,FALSE,"경영"}</definedName>
    <definedName name="당기">#REF!</definedName>
    <definedName name="당기경상이익">#REF!</definedName>
    <definedName name="당기당기순이익">#REF!</definedName>
    <definedName name="당기순매출액">#REF!</definedName>
    <definedName name="당기제품제조원가">#REF!</definedName>
    <definedName name="대변">#REF!</definedName>
    <definedName name="대변주소">#REF!</definedName>
    <definedName name="貸付損失Database">#REF!</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표자성명">#REF!</definedName>
    <definedName name="대표자주민등록번호">#REF!</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라너란" hidden="1">{#N/A,#N/A,FALSE,"BS";#N/A,#N/A,FALSE,"PL";#N/A,#N/A,FALSE,"처분";#N/A,#N/A,FALSE,"현금";#N/A,#N/A,FALSE,"매출";#N/A,#N/A,FALSE,"원가";#N/A,#N/A,FALSE,"경영"}</definedName>
    <definedName name="라마바">#REF!</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裏書譲渡手形" hidden="1">{"'買掛金'!$J$6"}</definedName>
    <definedName name="리셋">#REF!</definedName>
    <definedName name="리스트">#REF!</definedName>
    <definedName name="立替金Database">#REF!</definedName>
    <definedName name="ㄺ" hidden="1">{#N/A,#N/A,FALSE,"Aging Summary";#N/A,#N/A,FALSE,"Ratio Analysis";#N/A,#N/A,FALSE,"Test 120 Day Accts";#N/A,#N/A,FALSE,"Tickmarks"}</definedName>
    <definedName name="ㅁㄴㅇ">#REF!</definedName>
    <definedName name="ㅁㅁㅁ">#REF!</definedName>
    <definedName name="ㅁㅇ" hidden="1">{#N/A,#N/A,FALSE,"BS";#N/A,#N/A,FALSE,"PL";#N/A,#N/A,FALSE,"처분";#N/A,#N/A,FALSE,"현금";#N/A,#N/A,FALSE,"매출";#N/A,#N/A,FALSE,"원가";#N/A,#N/A,FALSE,"경영"}</definedName>
    <definedName name="ㅁㅇㄴㅁㄴㅇ" hidden="1">{#N/A,#N/A,FALSE,"BS";#N/A,#N/A,FALSE,"PL";#N/A,#N/A,FALSE,"처분";#N/A,#N/A,FALSE,"현금";#N/A,#N/A,FALSE,"매출";#N/A,#N/A,FALSE,"원가";#N/A,#N/A,FALSE,"경영"}</definedName>
    <definedName name="売掛">#REF!</definedName>
    <definedName name="買掛金" hidden="1">{"'買掛金'!$J$6"}</definedName>
    <definedName name="買掛金Database">#REF!</definedName>
    <definedName name="매입" hidden="1">#REF!</definedName>
    <definedName name="매출채권">#REF!</definedName>
    <definedName name="매출채권평균">#REF!</definedName>
    <definedName name="무47">#REF!</definedName>
    <definedName name="무형자산" hidden="1">{#N/A,#N/A,FALSE,"Aging Summary";#N/A,#N/A,FALSE,"Ratio Analysis";#N/A,#N/A,FALSE,"Test 120 Day Accts";#N/A,#N/A,FALSE,"Tickmarks"}</definedName>
    <definedName name="뮤629">#REF!</definedName>
    <definedName name="므" hidden="1">{#N/A,#N/A,FALSE,"Aging Summary";#N/A,#N/A,FALSE,"Ratio Analysis";#N/A,#N/A,FALSE,"Test 120 Day Accts";#N/A,#N/A,FALSE,"Tickmarks"}</definedName>
    <definedName name="未払" hidden="1">{"'買掛金'!$J$6"}</definedName>
    <definedName name="未払金" hidden="1">{"'買掛金'!$J$6"}</definedName>
    <definedName name="未収入金Ｄａｔａｂａｓｅ">#REF!</definedName>
    <definedName name="미지급금">#REF!</definedName>
    <definedName name="미지급법인세">#REF!</definedName>
    <definedName name="미ㅏ">#REF!</definedName>
    <definedName name="ㅂㅂ">#REF!</definedName>
    <definedName name="받을어음">#REF!</definedName>
    <definedName name="법인등록번호">#REF!</definedName>
    <definedName name="법인명_상호명">#REF!</definedName>
    <definedName name="법인세비용주석" hidden="1">{#N/A,#N/A,FALSE,"Aging Summary";#N/A,#N/A,FALSE,"Ratio Analysis";#N/A,#N/A,FALSE,"Test 120 Day Accts";#N/A,#N/A,FALSE,"Tickmarks"}</definedName>
    <definedName name="保証金Database">#REF!</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산물수입" hidden="1">{#N/A,#N/A,FALSE,"BS";#N/A,#N/A,FALSE,"PL";#N/A,#N/A,FALSE,"A";#N/A,#N/A,FALSE,"B";#N/A,#N/A,FALSE,"B1";#N/A,#N/A,FALSE,"C";#N/A,#N/A,FALSE,"C1";#N/A,#N/A,FALSE,"C2";#N/A,#N/A,FALSE,"D";#N/A,#N/A,FALSE,"E";#N/A,#N/A,FALSE,"F";#N/A,#N/A,FALSE,"AA";#N/A,#N/A,FALSE,"BB";#N/A,#N/A,FALSE,"CC";#N/A,#N/A,FALSE,"DD";#N/A,#N/A,FALSE,"EE";#N/A,#N/A,FALSE,"FF";#N/A,#N/A,FALSE,"PL10";#N/A,#N/A,FALSE,"PL20";#N/A,#N/A,FALSE,"PL30"}</definedName>
    <definedName name="부채총계">#REF!</definedName>
    <definedName name="부품명">#REF!</definedName>
    <definedName name="분류CODE">#REF!</definedName>
    <definedName name="분류명">#REF!</definedName>
    <definedName name="분류명CODE">#REF!</definedName>
    <definedName name="분석" hidden="1">{#N/A,#N/A,FALSE,"BS";#N/A,#N/A,FALSE,"PL";#N/A,#N/A,FALSE,"처분";#N/A,#N/A,FALSE,"현금";#N/A,#N/A,FALSE,"매출";#N/A,#N/A,FALSE,"원가";#N/A,#N/A,FALSE,"경영"}</definedName>
    <definedName name="사람"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사업년도_월수">#REF!</definedName>
    <definedName name="사업년도1">#REF!</definedName>
    <definedName name="사업년도2">#REF!</definedName>
    <definedName name="사업별실적입력">#REF!</definedName>
    <definedName name="사업자등록번호">#REF!</definedName>
    <definedName name="사업장소재지">#REF!</definedName>
    <definedName name="상여지급누계율96">#REF!</definedName>
    <definedName name="서울전산">#REF!</definedName>
    <definedName name="선급금2" hidden="1">{#N/A,#N/A,FALSE,"BS";#N/A,#N/A,FALSE,"PL";#N/A,#N/A,FALSE,"처분";#N/A,#N/A,FALSE,"현금";#N/A,#N/A,FALSE,"매출";#N/A,#N/A,FALSE,"원가";#N/A,#N/A,FALSE,"경영"}</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세율">#REF!</definedName>
    <definedName name="수량">#REF!</definedName>
    <definedName name="수입" hidden="1">{#N/A,#N/A,FALSE,"BS";#N/A,#N/A,FALSE,"PL";#N/A,#N/A,FALSE,"처분";#N/A,#N/A,FALSE,"현금";#N/A,#N/A,FALSE,"매출";#N/A,#N/A,FALSE,"원가";#N/A,#N/A,FALSE,"경영"}</definedName>
    <definedName name="수입금액" hidden="1">{#N/A,#N/A,FALSE,"BS";#N/A,#N/A,FALSE,"PL";#N/A,#N/A,FALSE,"처분";#N/A,#N/A,FALSE,"현금";#N/A,#N/A,FALSE,"매출";#N/A,#N/A,FALSE,"원가";#N/A,#N/A,FALSE,"경영"}</definedName>
    <definedName name="수입금액1" hidden="1">{#N/A,#N/A,FALSE,"BS";#N/A,#N/A,FALSE,"PL";#N/A,#N/A,FALSE,"A";#N/A,#N/A,FALSE,"B";#N/A,#N/A,FALSE,"B1";#N/A,#N/A,FALSE,"C";#N/A,#N/A,FALSE,"C1";#N/A,#N/A,FALSE,"C2";#N/A,#N/A,FALSE,"D";#N/A,#N/A,FALSE,"E";#N/A,#N/A,FALSE,"F";#N/A,#N/A,FALSE,"AA";#N/A,#N/A,FALSE,"BB";#N/A,#N/A,FALSE,"CC";#N/A,#N/A,FALSE,"DD";#N/A,#N/A,FALSE,"EE";#N/A,#N/A,FALSE,"FF";#N/A,#N/A,FALSE,"PL10";#N/A,#N/A,FALSE,"PL20";#N/A,#N/A,FALSE,"PL30"}</definedName>
    <definedName name="수입금액2" hidden="1">{#N/A,#N/A,FALSE,"BS";#N/A,#N/A,FALSE,"PL";#N/A,#N/A,FALSE,"A";#N/A,#N/A,FALSE,"B";#N/A,#N/A,FALSE,"B1";#N/A,#N/A,FALSE,"C";#N/A,#N/A,FALSE,"C1";#N/A,#N/A,FALSE,"C2";#N/A,#N/A,FALSE,"D";#N/A,#N/A,FALSE,"E";#N/A,#N/A,FALSE,"F";#N/A,#N/A,FALSE,"AA";#N/A,#N/A,FALSE,"BB";#N/A,#N/A,FALSE,"CC";#N/A,#N/A,FALSE,"DD";#N/A,#N/A,FALSE,"EE";#N/A,#N/A,FALSE,"FF";#N/A,#N/A,FALSE,"PL10";#N/A,#N/A,FALSE,"PL20";#N/A,#N/A,FALSE,"PL30"}</definedName>
    <definedName name="수주목표액">#REF!</definedName>
    <definedName name="수주목표액2002">#REF!</definedName>
    <definedName name="受取ﾛﾔﾙﾃｨDatabase">#REF!</definedName>
    <definedName name="受取利息Database">#REF!</definedName>
    <definedName name="受取手形">#REF!</definedName>
    <definedName name="순번">#REF!</definedName>
    <definedName name="시산표">#REF!</definedName>
    <definedName name="신부1">#REF!</definedName>
    <definedName name="신부2">#REF!</definedName>
    <definedName name="신비1">#REF!</definedName>
    <definedName name="신비2">#REF!</definedName>
    <definedName name="신수1">#REF!</definedName>
    <definedName name="신수2">#REF!</definedName>
    <definedName name="신신자">#REF!</definedName>
    <definedName name="신자">#REF!</definedName>
    <definedName name="신자1">#REF!</definedName>
    <definedName name="신자2">#REF!</definedName>
    <definedName name="신한은행_1"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ㅇㄴㅇㄴ" hidden="1">{#N/A,#N/A,FALSE,"BS";#N/A,#N/A,FALSE,"PL";#N/A,#N/A,FALSE,"처분";#N/A,#N/A,FALSE,"현금";#N/A,#N/A,FALSE,"매출";#N/A,#N/A,FALSE,"원가";#N/A,#N/A,FALSE,"경영"}</definedName>
    <definedName name="ㅇ니라먼" hidden="1">{#N/A,#N/A,FALSE,"BS";#N/A,#N/A,FALSE,"PL";#N/A,#N/A,FALSE,"처분";#N/A,#N/A,FALSE,"현금";#N/A,#N/A,FALSE,"매출";#N/A,#N/A,FALSE,"원가";#N/A,#N/A,FALSE,"경영"}</definedName>
    <definedName name="ㅇ닌" hidden="1">{#N/A,#N/A,FALSE,"BS";#N/A,#N/A,FALSE,"PL";#N/A,#N/A,FALSE,"처분";#N/A,#N/A,FALSE,"현금";#N/A,#N/A,FALSE,"매출";#N/A,#N/A,FALSE,"원가";#N/A,#N/A,FALSE,"경영"}</definedName>
    <definedName name="ㅇㄹ">#REF!</definedName>
    <definedName name="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 hidden="1">{#N/A,#N/A,FALSE,"Aging Summary";#N/A,#N/A,FALSE,"Ratio Analysis";#N/A,#N/A,FALSE,"Test 120 Day Accts";#N/A,#N/A,FALSE,"Tickmarks"}</definedName>
    <definedName name="ㅇㅇㅇㅇ" hidden="1">{#N/A,#N/A,FALSE,"BS";#N/A,#N/A,FALSE,"PL";#N/A,#N/A,FALSE,"A";#N/A,#N/A,FALSE,"B";#N/A,#N/A,FALSE,"B1";#N/A,#N/A,FALSE,"C";#N/A,#N/A,FALSE,"C1";#N/A,#N/A,FALSE,"C2";#N/A,#N/A,FALSE,"D";#N/A,#N/A,FALSE,"E";#N/A,#N/A,FALSE,"F";#N/A,#N/A,FALSE,"AA";#N/A,#N/A,FALSE,"BB";#N/A,#N/A,FALSE,"CC";#N/A,#N/A,FALSE,"DD";#N/A,#N/A,FALSE,"EE";#N/A,#N/A,FALSE,"FF";#N/A,#N/A,FALSE,"PL10";#N/A,#N/A,FALSE,"PL20";#N/A,#N/A,FALSE,"PL30"}</definedName>
    <definedName name="아아">#REF!</definedName>
    <definedName name="아아아아아">#REF!</definedName>
    <definedName name="아아아앙">#REF!</definedName>
    <definedName name="아아아ㅏㅇ이ㅣ" hidden="1">{#N/A,#N/A,FALSE,"BS";#N/A,#N/A,FALSE,"PL";#N/A,#N/A,FALSE,"처분";#N/A,#N/A,FALSE,"현금";#N/A,#N/A,FALSE,"매출";#N/A,#N/A,FALSE,"원가";#N/A,#N/A,FALSE,"경영"}</definedName>
    <definedName name="암">#REF!</definedName>
    <definedName name="업_태">#REF!</definedName>
    <definedName name="업체명">#REF!</definedName>
    <definedName name="연습">#REF!</definedName>
    <definedName name="영업권" hidden="1">{#N/A,#N/A,FALSE,"BS";#N/A,#N/A,FALSE,"PL";#N/A,#N/A,FALSE,"처분";#N/A,#N/A,FALSE,"현금";#N/A,#N/A,FALSE,"매출";#N/A,#N/A,FALSE,"원가";#N/A,#N/A,FALSE,"경영"}</definedName>
    <definedName name="영업권1" hidden="1">{#N/A,#N/A,FALSE,"BS";#N/A,#N/A,FALSE,"PL";#N/A,#N/A,FALSE,"처분";#N/A,#N/A,FALSE,"현금";#N/A,#N/A,FALSE,"매출";#N/A,#N/A,FALSE,"원가";#N/A,#N/A,FALSE,"경영"}</definedName>
    <definedName name="영지전자">#REF!</definedName>
    <definedName name="預かり明細Database">#REF!</definedName>
    <definedName name="預り">#REF!</definedName>
    <definedName name="預り保証金" hidden="1">{"'買掛金'!$J$6"}</definedName>
    <definedName name="예금">#REF!</definedName>
    <definedName name="외상" hidden="1">{#N/A,#N/A,FALSE,"Aging Summary";#N/A,#N/A,FALSE,"Ratio Analysis";#N/A,#N/A,FALSE,"Test 120 Day Accts";#N/A,#N/A,FALSE,"Tickmarks"}</definedName>
    <definedName name="외상매입금">#REF!</definedName>
    <definedName name="외상매출금">#REF!</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화외상" hidden="1">{#N/A,#N/A,FALSE,"Aging Summary";#N/A,#N/A,FALSE,"Ratio Analysis";#N/A,#N/A,FALSE,"Test 120 Day Accts";#N/A,#N/A,FALSE,"Tickmarks"}</definedName>
    <definedName name="외화외상매입금" hidden="1">{#N/A,#N/A,FALSE,"Aging Summary";#N/A,#N/A,FALSE,"Ratio Analysis";#N/A,#N/A,FALSE,"Test 120 Day Accts";#N/A,#N/A,FALSE,"Tickmarks"}</definedName>
    <definedName name="용도">#REF!</definedName>
    <definedName name="우성전자">#REF!</definedName>
    <definedName name="원가전표입력">#REF!</definedName>
    <definedName name="원금">#REF!</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#REF!</definedName>
    <definedName name="위더스">#REF!</definedName>
    <definedName name="유가">#REF!</definedName>
    <definedName name="유가증권" hidden="1">{#N/A,#N/A,FALSE,"Aging Summary";#N/A,#N/A,FALSE,"Ratio Analysis";#N/A,#N/A,FALSE,"Test 120 Day Accts";#N/A,#N/A,FALSE,"Tickmarks"}</definedName>
    <definedName name="유동성외화" hidden="1">{#N/A,#N/A,FALSE,"BS";#N/A,#N/A,FALSE,"PL";#N/A,#N/A,FALSE,"처분";#N/A,#N/A,FALSE,"현금";#N/A,#N/A,FALSE,"매출";#N/A,#N/A,FALSE,"원가";#N/A,#N/A,FALSE,"경영"}</definedName>
    <definedName name="유상">#REF!</definedName>
    <definedName name="유형무형자산평균">#REF!</definedName>
    <definedName name="유형무형투자자산">#REF!</definedName>
    <definedName name="유형자산" hidden="1">{#N/A,#N/A,FALSE,"BS";#N/A,#N/A,FALSE,"PL";#N/A,#N/A,FALSE,"처분";#N/A,#N/A,FALSE,"현금";#N/A,#N/A,FALSE,"매출";#N/A,#N/A,FALSE,"원가";#N/A,#N/A,FALSE,"경영"}</definedName>
    <definedName name="유형자산opc" hidden="1">{#N/A,#N/A,FALSE,"BS";#N/A,#N/A,FALSE,"PL";#N/A,#N/A,FALSE,"처분";#N/A,#N/A,FALSE,"현금";#N/A,#N/A,FALSE,"매출";#N/A,#N/A,FALSE,"원가";#N/A,#N/A,FALSE,"경영"}</definedName>
    <definedName name="음">#REF!</definedName>
    <definedName name="이" hidden="1">{#N/A,#N/A,FALSE,"Aging Summary";#N/A,#N/A,FALSE,"Ratio Analysis";#N/A,#N/A,FALSE,"Test 120 Day Accts";#N/A,#N/A,FALSE,"Tickmarks"}</definedName>
    <definedName name="이귀식" hidden="1">{#N/A,#N/A,FALSE,"Aging Summary";#N/A,#N/A,FALSE,"Ratio Analysis";#N/A,#N/A,FALSE,"Test 120 Day Accts";#N/A,#N/A,FALSE,"Tickmarks"}</definedName>
    <definedName name="이기">#REF!</definedName>
    <definedName name="이나">#REF!</definedName>
    <definedName name="이름">#REF!</definedName>
    <definedName name="이성희">#REF!</definedName>
    <definedName name="이연법인세" hidden="1">{#N/A,#N/A,FALSE,"Aging Summary";#N/A,#N/A,FALSE,"Ratio Analysis";#N/A,#N/A,FALSE,"Test 120 Day Accts";#N/A,#N/A,FALSE,"Tickmarks"}</definedName>
    <definedName name="이연법인세주석">#REF!</definedName>
    <definedName name="이자율">#REF!</definedName>
    <definedName name="이철호" hidden="1">{#N/A,#N/A,FALSE,"Aging Summary";#N/A,#N/A,FALSE,"Ratio Analysis";#N/A,#N/A,FALSE,"Test 120 Day Accts";#N/A,#N/A,FALSE,"Tickmarks"}</definedName>
    <definedName name="인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인쇄범위">#REF!</definedName>
    <definedName name="인쇄제목">#REF!</definedName>
    <definedName name="인천제철">#REF!</definedName>
    <definedName name="一般管理" hidden="1">{"'買掛金'!$J$6"}</definedName>
    <definedName name="일원전자">#REF!</definedName>
    <definedName name="일자">#REF!</definedName>
    <definedName name="임가공">#REF!</definedName>
    <definedName name="입고구분">#REF!</definedName>
    <definedName name="잉여" hidden="1">{#N/A,#N/A,FALSE,"Aging Summary";#N/A,#N/A,FALSE,"Ratio Analysis";#N/A,#N/A,FALSE,"Test 120 Day Accts";#N/A,#N/A,FALSE,"Tickmarks"}</definedName>
    <definedName name="잉여금" hidden="1">{#N/A,#N/A,FALSE,"Aging Summary";#N/A,#N/A,FALSE,"Ratio Analysis";#N/A,#N/A,FALSE,"Test 120 Day Accts";#N/A,#N/A,FALSE,"Tickmarks"}</definedName>
    <definedName name="ㅈㅈ">#REF!</definedName>
    <definedName name="자기자본평균">#REF!</definedName>
    <definedName name="자본금" hidden="1">{#N/A,#N/A,FALSE,"Aging Summary";#N/A,#N/A,FALSE,"Ratio Analysis";#N/A,#N/A,FALSE,"Test 120 Day Accts";#N/A,#N/A,FALSE,"Tickmarks"}</definedName>
    <definedName name="자산"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평균">#REF!</definedName>
    <definedName name="자재">#REF!</definedName>
    <definedName name="雑費" hidden="1">{"'買掛金'!$J$6"}</definedName>
    <definedName name="雑収入Database">#REF!</definedName>
    <definedName name="長期貸付金Database">#REF!</definedName>
    <definedName name="長期前払Database">#REF!</definedName>
    <definedName name="長期借入Database">#REF!</definedName>
    <definedName name="長島" hidden="1">{"'買掛金'!$J$6"}</definedName>
    <definedName name="재고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평균">#REF!</definedName>
    <definedName name="적요">#REF!</definedName>
    <definedName name="전기">#REF!</definedName>
    <definedName name="전기경상이익">#REF!</definedName>
    <definedName name="전기당기순이익">#REF!</definedName>
    <definedName name="전기순매출액">#REF!</definedName>
    <definedName name="전기제품제조원가">#REF!</definedName>
    <definedName name="전년말환율">#REF!</definedName>
    <definedName name="전년평균환율">#REF!</definedName>
    <definedName name="前渡金Ｄａｔａｂａｓｅ">#REF!</definedName>
    <definedName name="前払費用Database">#REF!</definedName>
    <definedName name="전산망공사">#REF!</definedName>
    <definedName name="전입액">#REF!</definedName>
    <definedName name="전처리">#REF!</definedName>
    <definedName name="전체범위">#REF!</definedName>
    <definedName name="전표번호">#REF!</definedName>
    <definedName name="전화번호">#REF!</definedName>
    <definedName name="絶費" hidden="1">{"'買掛金'!$J$6"}</definedName>
    <definedName name="정" hidden="1">{#N/A,#N/A,FALSE,"Aging Summary";#N/A,#N/A,FALSE,"Ratio Analysis";#N/A,#N/A,FALSE,"Test 120 Day Accts";#N/A,#N/A,FALSE,"Tickmarks"}</definedName>
    <definedName name="정렬">#REF!</definedName>
    <definedName name="정산총액">#REF!</definedName>
    <definedName name="정산총액2002">#REF!</definedName>
    <definedName name="정산표" hidden="1">{#N/A,#N/A,FALSE,"Aging Summary";#N/A,#N/A,FALSE,"Ratio Analysis";#N/A,#N/A,FALSE,"Test 120 Day Accts";#N/A,#N/A,FALSE,"Tickmarks"}</definedName>
    <definedName name="제품수입" hidden="1">{#N/A,#N/A,FALSE,"BS";#N/A,#N/A,FALSE,"PL";#N/A,#N/A,FALSE,"A";#N/A,#N/A,FALSE,"B";#N/A,#N/A,FALSE,"B1";#N/A,#N/A,FALSE,"C";#N/A,#N/A,FALSE,"C1";#N/A,#N/A,FALSE,"C2";#N/A,#N/A,FALSE,"D";#N/A,#N/A,FALSE,"E";#N/A,#N/A,FALSE,"F";#N/A,#N/A,FALSE,"AA";#N/A,#N/A,FALSE,"BB";#N/A,#N/A,FALSE,"CC";#N/A,#N/A,FALSE,"DD";#N/A,#N/A,FALSE,"EE";#N/A,#N/A,FALSE,"FF";#N/A,#N/A,FALSE,"PL10";#N/A,#N/A,FALSE,"PL20";#N/A,#N/A,FALSE,"PL30"}</definedName>
    <definedName name="조립명">#REF!</definedName>
    <definedName name="조은미디어">#REF!</definedName>
    <definedName name="조정" hidden="1">#REF!</definedName>
    <definedName name="조회번호">#REF!</definedName>
    <definedName name="조회서인쇄범위">#REF!</definedName>
    <definedName name="조회액">#REF!</definedName>
    <definedName name="종_목">#REF!</definedName>
    <definedName name="종류">#REF!</definedName>
    <definedName name="종류code">#REF!</definedName>
    <definedName name="주소">#REF!</definedName>
    <definedName name="주식발행초과금">#REF!</definedName>
    <definedName name="㈜이고">#REF!</definedName>
    <definedName name="중분">#REF!</definedName>
    <definedName name="중분류">#REF!</definedName>
    <definedName name="중소기업해당여부">#REF!</definedName>
    <definedName name="지급어음">#REF!</definedName>
    <definedName name="支払" hidden="1">{"'買掛金'!$J$6"}</definedName>
    <definedName name="支払ﾛｲﾔﾙﾃｨDatabase">#REF!</definedName>
    <definedName name="支払利息Database">#REF!</definedName>
    <definedName name="支払手形" hidden="1">{"'買掛金'!$J$6"}</definedName>
    <definedName name="지자">#REF!</definedName>
    <definedName name="ㅊ" hidden="1">{#N/A,#N/A,FALSE,"Aging Summary";#N/A,#N/A,FALSE,"Ratio Analysis";#N/A,#N/A,FALSE,"Test 120 Day Accts";#N/A,#N/A,FALSE,"Tickmarks"}</definedName>
    <definedName name="차변">#REF!</definedName>
    <definedName name="차변주소">#REF!</definedName>
    <definedName name="差入保証金" hidden="1">{"'買掛金'!$J$6"}</definedName>
    <definedName name="참새" hidden="1">{#N/A,#N/A,FALSE,"BS";#N/A,#N/A,FALSE,"PL";#N/A,#N/A,FALSE,"A";#N/A,#N/A,FALSE,"B";#N/A,#N/A,FALSE,"B1";#N/A,#N/A,FALSE,"C";#N/A,#N/A,FALSE,"C1";#N/A,#N/A,FALSE,"C2";#N/A,#N/A,FALSE,"D";#N/A,#N/A,FALSE,"E";#N/A,#N/A,FALSE,"F";#N/A,#N/A,FALSE,"AA";#N/A,#N/A,FALSE,"BB";#N/A,#N/A,FALSE,"CC";#N/A,#N/A,FALSE,"DD";#N/A,#N/A,FALSE,"EE";#N/A,#N/A,FALSE,"FF";#N/A,#N/A,FALSE,"PL10";#N/A,#N/A,FALSE,"PL20";#N/A,#N/A,FALSE,"PL30"}</definedName>
    <definedName name="채권계정과목">#REF!</definedName>
    <definedName name="채권범위">#REF!</definedName>
    <definedName name="채무계정과목">#REF!</definedName>
    <definedName name="채무범위">#REF!</definedName>
    <definedName name="총괄표">#REF!</definedName>
    <definedName name="총자산평균">#REF!</definedName>
    <definedName name="최초">#REF!</definedName>
    <definedName name="출고선">#REF!</definedName>
    <definedName name="취득가액">#REF!</definedName>
    <definedName name="취소">#REF!</definedName>
    <definedName name="ㅋㅋㅋㅋ" hidden="1">{#N/A,#N/A,FALSE,"Aging Summary";#N/A,#N/A,FALSE,"Ratio Analysis";#N/A,#N/A,FALSE,"Test 120 Day Accts";#N/A,#N/A,FALSE,"Tickmarks"}</definedName>
    <definedName name="켁" hidden="1">{#N/A,#N/A,FALSE,"Aging Summary";#N/A,#N/A,FALSE,"Ratio Analysis";#N/A,#N/A,FALSE,"Test 120 Day Accts";#N/A,#N/A,FALSE,"Tickmarks"}</definedName>
    <definedName name="ㅌㅊ">#REF!</definedName>
    <definedName name="타법인주식적수">#REF!</definedName>
    <definedName name="통합">#REF!</definedName>
    <definedName name="통화단위">#REF!</definedName>
    <definedName name="퇴직금추계액">#REF!</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품명">#REF!</definedName>
    <definedName name="품의일자">#REF!</definedName>
    <definedName name="피비씨">#REF!</definedName>
    <definedName name="피비씨리스트">#REF!</definedName>
    <definedName name="ㅎ롤홀" hidden="1">{#N/A,#N/A,FALSE,"Aging Summary";#N/A,#N/A,FALSE,"Ratio Analysis";#N/A,#N/A,FALSE,"Test 120 Day Accts";#N/A,#N/A,FALSE,"Tickmarks"}</definedName>
    <definedName name="ㅎㅇ" hidden="1">{#N/A,#N/A,FALSE,"Aging Summary";#N/A,#N/A,FALSE,"Ratio Analysis";#N/A,#N/A,FALSE,"Test 120 Day Accts";#N/A,#N/A,FALSE,"Tickmarks"}</definedName>
    <definedName name="ㅎㅎ"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합계">#REF!</definedName>
    <definedName name="합잔">#REF!</definedName>
    <definedName name="항목">#REF!</definedName>
    <definedName name="항목주소">#REF!</definedName>
    <definedName name="해외">#REF!</definedName>
    <definedName name="행번호">#REF!</definedName>
    <definedName name="현금">#REF!</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금흐름표" hidden="1">{#N/A,#N/A,FALSE,"BS";#N/A,#N/A,FALSE,"PL";#N/A,#N/A,FALSE,"A";#N/A,#N/A,FALSE,"B";#N/A,#N/A,FALSE,"B1";#N/A,#N/A,FALSE,"C";#N/A,#N/A,FALSE,"C1";#N/A,#N/A,FALSE,"C2";#N/A,#N/A,FALSE,"D";#N/A,#N/A,FALSE,"E";#N/A,#N/A,FALSE,"F";#N/A,#N/A,FALSE,"AA";#N/A,#N/A,FALSE,"BB";#N/A,#N/A,FALSE,"CC";#N/A,#N/A,FALSE,"DD";#N/A,#N/A,FALSE,"EE";#N/A,#N/A,FALSE,"FF";#N/A,#N/A,FALSE,"PL10";#N/A,#N/A,FALSE,"PL20";#N/A,#N/A,FALSE,"PL30"}</definedName>
    <definedName name="환율">#REF!</definedName>
    <definedName name="황">#REF!</definedName>
    <definedName name="회계년도">#REF!</definedName>
    <definedName name="회사">#REF!</definedName>
    <definedName name="회사명">#REF!</definedName>
    <definedName name="회사측대손">#REF!</definedName>
    <definedName name="ㅏㄴ아ㅓ">#REF!</definedName>
    <definedName name="ㅏㅏㅏㅏ" hidden="1">{#N/A,#N/A,FALSE,"Aging Summary";#N/A,#N/A,FALSE,"Ratio Analysis";#N/A,#N/A,FALSE,"Test 120 Day Accts";#N/A,#N/A,FALSE,"Tickmarks"}</definedName>
    <definedName name="ㅐ">#REF!</definedName>
    <definedName name="ㅑ525">#REF!</definedName>
    <definedName name="ㅓ3">#REF!</definedName>
    <definedName name="ㅓㅗㅓㅗ"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ㅓㅣㅏㅓㅣㅏ" hidden="1">{#N/A,#N/A,FALSE,"BS";#N/A,#N/A,FALSE,"PL";#N/A,#N/A,FALSE,"A";#N/A,#N/A,FALSE,"B";#N/A,#N/A,FALSE,"B1";#N/A,#N/A,FALSE,"C";#N/A,#N/A,FALSE,"C1";#N/A,#N/A,FALSE,"C2";#N/A,#N/A,FALSE,"D";#N/A,#N/A,FALSE,"E";#N/A,#N/A,FALSE,"F";#N/A,#N/A,FALSE,"AA";#N/A,#N/A,FALSE,"BB";#N/A,#N/A,FALSE,"CC";#N/A,#N/A,FALSE,"DD";#N/A,#N/A,FALSE,"EE";#N/A,#N/A,FALSE,"FF";#N/A,#N/A,FALSE,"PL10";#N/A,#N/A,FALSE,"PL20";#N/A,#N/A,FALSE,"PL30"}</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ㅓ허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ㅣㅏㄴ어리ㅏ" hidden="1">{#N/A,#N/A,FALSE,"BS";#N/A,#N/A,FALSE,"PL";#N/A,#N/A,FALSE,"A";#N/A,#N/A,FALSE,"B";#N/A,#N/A,FALSE,"B1";#N/A,#N/A,FALSE,"C";#N/A,#N/A,FALSE,"C1";#N/A,#N/A,FALSE,"C2";#N/A,#N/A,FALSE,"D";#N/A,#N/A,FALSE,"E";#N/A,#N/A,FALSE,"F";#N/A,#N/A,FALSE,"AA";#N/A,#N/A,FALSE,"BB";#N/A,#N/A,FALSE,"CC";#N/A,#N/A,FALSE,"DD";#N/A,#N/A,FALSE,"EE";#N/A,#N/A,FALSE,"FF";#N/A,#N/A,FALSE,"PL10";#N/A,#N/A,FALSE,"PL20";#N/A,#N/A,FALSE,"PL30"}</definedName>
    <definedName name="ㅣㅣㅣㅣ">#REF!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28" i="4" l="1"/>
  <c r="R73" i="20" l="1"/>
  <c r="R72" i="20"/>
  <c r="R71" i="20"/>
  <c r="R70" i="20"/>
  <c r="R23" i="20"/>
  <c r="P73" i="20"/>
  <c r="P72" i="20"/>
  <c r="P71" i="20"/>
  <c r="P70" i="20"/>
  <c r="Q55" i="6"/>
  <c r="S55" i="6" s="1"/>
  <c r="Q54" i="6"/>
  <c r="S54" i="6" s="1"/>
  <c r="Q51" i="6"/>
  <c r="S51" i="6" s="1"/>
  <c r="Q49" i="6"/>
  <c r="S49" i="6" s="1"/>
  <c r="Q34" i="6"/>
  <c r="S34" i="6" s="1"/>
  <c r="Q32" i="6"/>
  <c r="Q26" i="6"/>
  <c r="S26" i="6" s="1"/>
  <c r="Q24" i="6"/>
  <c r="S24" i="6" s="1"/>
  <c r="Q23" i="6"/>
  <c r="P61" i="5"/>
  <c r="P65" i="5"/>
  <c r="E65" i="5"/>
  <c r="P66" i="5"/>
  <c r="P64" i="5"/>
  <c r="P63" i="5"/>
  <c r="P62" i="5"/>
  <c r="P55" i="5"/>
  <c r="P54" i="5"/>
  <c r="P52" i="5"/>
  <c r="P48" i="5"/>
  <c r="E48" i="5"/>
  <c r="P47" i="5"/>
  <c r="E47" i="5"/>
  <c r="P46" i="5"/>
  <c r="E46" i="5"/>
  <c r="P45" i="5"/>
  <c r="E45" i="5"/>
  <c r="P44" i="5"/>
  <c r="E44" i="5"/>
  <c r="P36" i="5"/>
  <c r="P34" i="5"/>
  <c r="P33" i="5"/>
  <c r="P32" i="5"/>
  <c r="P31" i="5"/>
  <c r="P30" i="5"/>
  <c r="P29" i="5"/>
  <c r="P28" i="5"/>
  <c r="P25" i="5"/>
  <c r="R44" i="5" l="1"/>
  <c r="R48" i="5"/>
  <c r="R47" i="5"/>
  <c r="R65" i="5"/>
  <c r="R46" i="5"/>
  <c r="R45" i="5"/>
  <c r="P96" i="4" l="1"/>
  <c r="P95" i="4"/>
  <c r="P91" i="4"/>
  <c r="P90" i="4"/>
  <c r="P83" i="4"/>
  <c r="P81" i="4"/>
  <c r="P79" i="4"/>
  <c r="P76" i="4"/>
  <c r="P70" i="4"/>
  <c r="P26" i="4"/>
  <c r="P25" i="4"/>
  <c r="P23" i="4"/>
  <c r="P22" i="4"/>
  <c r="P21" i="4"/>
  <c r="P59" i="4"/>
  <c r="P58" i="4"/>
  <c r="P51" i="4"/>
  <c r="P24" i="4" l="1"/>
  <c r="C94" i="4"/>
  <c r="D88" i="4" l="1"/>
  <c r="D39" i="4"/>
  <c r="D36" i="4"/>
  <c r="C88" i="4"/>
  <c r="C36" i="4"/>
  <c r="C39" i="4"/>
  <c r="C54" i="4"/>
  <c r="G43" i="1" l="1"/>
  <c r="F43" i="1"/>
  <c r="Q30" i="6" l="1"/>
  <c r="S30" i="6" s="1"/>
  <c r="Q46" i="6" l="1"/>
  <c r="S46" i="6" s="1"/>
  <c r="Q45" i="6"/>
  <c r="S45" i="6" s="1"/>
  <c r="Q44" i="6"/>
  <c r="S44" i="6" s="1"/>
  <c r="Q43" i="6"/>
  <c r="S43" i="6" s="1"/>
  <c r="Q42" i="6"/>
  <c r="S42" i="6" s="1"/>
  <c r="Q41" i="6"/>
  <c r="S41" i="6" s="1"/>
  <c r="Q39" i="6"/>
  <c r="S39" i="6" s="1"/>
  <c r="Q40" i="6"/>
  <c r="S40" i="6" s="1"/>
  <c r="Q56" i="6"/>
  <c r="S56" i="6" s="1"/>
  <c r="Q53" i="6"/>
  <c r="S53" i="6" s="1"/>
  <c r="Q52" i="6"/>
  <c r="S52" i="6" s="1"/>
  <c r="Q50" i="6"/>
  <c r="S50" i="6" s="1"/>
  <c r="Q48" i="6"/>
  <c r="S48" i="6" s="1"/>
  <c r="Q47" i="6"/>
  <c r="S47" i="6" s="1"/>
  <c r="Q38" i="6"/>
  <c r="S38" i="6" s="1"/>
  <c r="Q37" i="6"/>
  <c r="Q36" i="6"/>
  <c r="P77" i="20" l="1"/>
  <c r="R77" i="20" s="1"/>
  <c r="P76" i="20"/>
  <c r="R76" i="20" s="1"/>
  <c r="P66" i="20"/>
  <c r="R66" i="20" s="1"/>
  <c r="P65" i="20"/>
  <c r="R65" i="20" s="1"/>
  <c r="P64" i="20"/>
  <c r="R64" i="20" s="1"/>
  <c r="P63" i="20"/>
  <c r="R63" i="20" s="1"/>
  <c r="P62" i="20"/>
  <c r="R62" i="20" s="1"/>
  <c r="P61" i="20"/>
  <c r="R61" i="20" s="1"/>
  <c r="P60" i="20"/>
  <c r="R60" i="20" s="1"/>
  <c r="P59" i="20"/>
  <c r="R59" i="20" s="1"/>
  <c r="P58" i="20"/>
  <c r="R58" i="20" s="1"/>
  <c r="P57" i="20"/>
  <c r="R57" i="20" s="1"/>
  <c r="P56" i="20"/>
  <c r="R56" i="20" s="1"/>
  <c r="P55" i="20"/>
  <c r="R55" i="20" s="1"/>
  <c r="P51" i="20"/>
  <c r="R51" i="20" s="1"/>
  <c r="P50" i="20"/>
  <c r="R50" i="20" s="1"/>
  <c r="P49" i="20"/>
  <c r="R49" i="20" s="1"/>
  <c r="P48" i="20"/>
  <c r="R48" i="20" s="1"/>
  <c r="P39" i="20"/>
  <c r="R39" i="20" s="1"/>
  <c r="P38" i="20"/>
  <c r="R38" i="20" s="1"/>
  <c r="P37" i="20"/>
  <c r="R37" i="20" s="1"/>
  <c r="P36" i="20"/>
  <c r="R36" i="20" s="1"/>
  <c r="P35" i="20"/>
  <c r="R35" i="20" s="1"/>
  <c r="P34" i="20"/>
  <c r="R34" i="20" s="1"/>
  <c r="P33" i="20"/>
  <c r="R33" i="20" s="1"/>
  <c r="P32" i="20"/>
  <c r="R32" i="20" s="1"/>
  <c r="P31" i="20"/>
  <c r="R31" i="20" s="1"/>
  <c r="P30" i="20"/>
  <c r="R30" i="20" s="1"/>
  <c r="P29" i="20"/>
  <c r="R29" i="20" s="1"/>
  <c r="P28" i="20"/>
  <c r="R28" i="20" s="1"/>
  <c r="P27" i="20"/>
  <c r="R27" i="20" s="1"/>
  <c r="P26" i="20"/>
  <c r="R26" i="20" s="1"/>
  <c r="P59" i="5"/>
  <c r="P58" i="5"/>
  <c r="P57" i="5"/>
  <c r="P56" i="5"/>
  <c r="P53" i="5"/>
  <c r="P43" i="5"/>
  <c r="P42" i="5"/>
  <c r="P41" i="5"/>
  <c r="P40" i="5"/>
  <c r="P39" i="5"/>
  <c r="P38" i="5"/>
  <c r="P37" i="5"/>
  <c r="P35" i="5"/>
  <c r="P75" i="4" l="1"/>
  <c r="P62" i="4"/>
  <c r="P56" i="4"/>
  <c r="P57" i="4"/>
  <c r="P53" i="4"/>
  <c r="P52" i="4"/>
  <c r="P99" i="4"/>
  <c r="P98" i="4"/>
  <c r="P93" i="4"/>
  <c r="P89" i="4"/>
  <c r="P82" i="4"/>
  <c r="P80" i="4"/>
  <c r="P74" i="4"/>
  <c r="P73" i="4"/>
  <c r="P72" i="4"/>
  <c r="P69" i="4"/>
  <c r="P65" i="4"/>
  <c r="P64" i="4"/>
  <c r="P61" i="4"/>
  <c r="P55" i="4"/>
  <c r="P50" i="4"/>
  <c r="P49" i="4"/>
  <c r="P48" i="4"/>
  <c r="P47" i="4"/>
  <c r="P46" i="4"/>
  <c r="P45" i="4"/>
  <c r="P44" i="4"/>
  <c r="P32" i="4"/>
  <c r="P33" i="4"/>
  <c r="P31" i="4"/>
  <c r="D68" i="5"/>
  <c r="D86" i="4"/>
  <c r="D94" i="4"/>
  <c r="D54" i="4" l="1"/>
  <c r="D63" i="4"/>
  <c r="C22" i="5"/>
  <c r="D40" i="20"/>
  <c r="D22" i="20"/>
  <c r="D20" i="20" s="1"/>
  <c r="D19" i="20" s="1"/>
  <c r="C67" i="20"/>
  <c r="D52" i="20"/>
  <c r="D67" i="20"/>
  <c r="D22" i="5"/>
  <c r="C18" i="5"/>
  <c r="D18" i="5"/>
  <c r="D49" i="5" s="1"/>
  <c r="D92" i="4"/>
  <c r="C22" i="20"/>
  <c r="C40" i="20"/>
  <c r="C52" i="20"/>
  <c r="C92" i="4"/>
  <c r="D78" i="4"/>
  <c r="D77" i="4" s="1"/>
  <c r="D50" i="5"/>
  <c r="D60" i="5"/>
  <c r="D68" i="4"/>
  <c r="D67" i="4" s="1"/>
  <c r="D60" i="4"/>
  <c r="D97" i="4"/>
  <c r="D43" i="4"/>
  <c r="D20" i="4"/>
  <c r="D19" i="4" s="1"/>
  <c r="C49" i="5" l="1"/>
  <c r="D35" i="4"/>
  <c r="D65" i="4" s="1"/>
  <c r="D100" i="4"/>
  <c r="C20" i="20"/>
  <c r="C19" i="20" s="1"/>
  <c r="C75" i="20" s="1"/>
  <c r="C78" i="20" s="1"/>
  <c r="C79" i="20" s="1"/>
  <c r="D75" i="20"/>
  <c r="D78" i="20" s="1"/>
  <c r="D79" i="20" s="1"/>
  <c r="D67" i="5"/>
  <c r="D70" i="5" s="1"/>
  <c r="D84" i="4"/>
  <c r="D17" i="20"/>
  <c r="C17" i="20"/>
  <c r="P23" i="20"/>
  <c r="P54" i="20"/>
  <c r="R54" i="20" s="1"/>
  <c r="P53" i="20"/>
  <c r="R53" i="20" s="1"/>
  <c r="P47" i="20"/>
  <c r="R47" i="20" s="1"/>
  <c r="P46" i="20"/>
  <c r="R46" i="20" s="1"/>
  <c r="P45" i="20"/>
  <c r="R45" i="20" s="1"/>
  <c r="P44" i="20"/>
  <c r="R44" i="20" s="1"/>
  <c r="P43" i="20"/>
  <c r="R43" i="20" s="1"/>
  <c r="P42" i="20"/>
  <c r="R42" i="20" s="1"/>
  <c r="P41" i="20"/>
  <c r="R41" i="20" s="1"/>
  <c r="S37" i="6"/>
  <c r="E37" i="6"/>
  <c r="D37" i="6"/>
  <c r="S36" i="6"/>
  <c r="Q35" i="6"/>
  <c r="S35" i="6" s="1"/>
  <c r="Q33" i="6"/>
  <c r="S33" i="6" s="1"/>
  <c r="Q31" i="6"/>
  <c r="S31" i="6" s="1"/>
  <c r="E31" i="6"/>
  <c r="D31" i="6"/>
  <c r="Q27" i="6"/>
  <c r="S27" i="6" s="1"/>
  <c r="Q25" i="6"/>
  <c r="S25" i="6" s="1"/>
  <c r="C63" i="4" l="1"/>
  <c r="D101" i="4"/>
  <c r="C60" i="4"/>
  <c r="C43" i="4"/>
  <c r="C35" i="4" l="1"/>
  <c r="D17" i="5"/>
  <c r="C17" i="5"/>
  <c r="E36" i="6"/>
  <c r="E35" i="6"/>
  <c r="E27" i="6"/>
  <c r="E25" i="6"/>
  <c r="D35" i="6"/>
  <c r="D36" i="6"/>
  <c r="D27" i="6"/>
  <c r="D25" i="6"/>
  <c r="C60" i="5" l="1"/>
  <c r="D19" i="43" l="1"/>
  <c r="D18" i="43"/>
  <c r="P30" i="4" l="1"/>
  <c r="P29" i="4"/>
  <c r="P27" i="4"/>
  <c r="Q22" i="6" l="1"/>
  <c r="P74" i="20" l="1"/>
  <c r="R74" i="20" s="1"/>
  <c r="P69" i="20"/>
  <c r="R69" i="20" s="1"/>
  <c r="P68" i="20"/>
  <c r="R68" i="20" s="1"/>
  <c r="Q28" i="6" l="1"/>
  <c r="Q29" i="6"/>
  <c r="S29" i="6" s="1"/>
  <c r="Q21" i="6"/>
  <c r="Q20" i="6"/>
  <c r="P21" i="5" l="1"/>
  <c r="P20" i="5"/>
  <c r="P19" i="5"/>
  <c r="P69" i="5" l="1"/>
  <c r="P27" i="5"/>
  <c r="P26" i="5"/>
  <c r="P24" i="5"/>
  <c r="P23" i="5"/>
  <c r="P51" i="5" l="1"/>
  <c r="P34" i="4" l="1"/>
  <c r="D23" i="6" l="1"/>
  <c r="E23" i="6"/>
  <c r="E22" i="6"/>
  <c r="C68" i="4"/>
  <c r="D22" i="6"/>
  <c r="C50" i="5" l="1"/>
  <c r="C67" i="4"/>
  <c r="P24" i="20" l="1"/>
  <c r="P25" i="20" l="1"/>
  <c r="H60" i="1" l="1"/>
  <c r="H53" i="1" l="1"/>
  <c r="S20" i="6" l="1"/>
  <c r="Q19" i="6"/>
  <c r="S19" i="6" s="1"/>
  <c r="E29" i="6"/>
  <c r="C86" i="4"/>
  <c r="C68" i="5" l="1"/>
  <c r="D29" i="6" s="1"/>
  <c r="C97" i="4"/>
  <c r="C100" i="4" s="1"/>
  <c r="C20" i="4"/>
  <c r="C19" i="4" s="1"/>
  <c r="C65" i="4" s="1"/>
  <c r="C78" i="4"/>
  <c r="C77" i="4" l="1"/>
  <c r="G52" i="1" l="1"/>
  <c r="C84" i="4"/>
  <c r="C101" i="4" l="1"/>
  <c r="C102" i="4" s="1"/>
  <c r="C103" i="4"/>
  <c r="D102" i="4"/>
  <c r="D103" i="4"/>
  <c r="C67" i="5"/>
  <c r="G54" i="1" l="1"/>
  <c r="G46" i="1" l="1"/>
  <c r="G39" i="1" s="1"/>
  <c r="F46" i="1" l="1"/>
  <c r="C70" i="5"/>
  <c r="F52" i="1" l="1"/>
  <c r="F54" i="1" s="1"/>
  <c r="G58" i="1" s="1"/>
  <c r="F39" i="1"/>
  <c r="S28" i="6"/>
  <c r="S21" i="6"/>
  <c r="S23" i="6"/>
  <c r="S22" i="6"/>
  <c r="R24" i="20"/>
  <c r="R25" i="20"/>
  <c r="G62" i="1" l="1"/>
  <c r="E57" i="4" l="1"/>
  <c r="R57" i="4" s="1"/>
  <c r="E91" i="4"/>
  <c r="E64" i="4"/>
  <c r="R64" i="4" s="1"/>
  <c r="E56" i="4"/>
  <c r="R56" i="4" s="1"/>
  <c r="E58" i="4"/>
  <c r="R58" i="4" s="1"/>
  <c r="E42" i="4"/>
  <c r="R42" i="4" s="1"/>
  <c r="E96" i="4"/>
  <c r="R96" i="4" s="1"/>
  <c r="E41" i="4"/>
  <c r="R41" i="4" s="1"/>
  <c r="E55" i="4"/>
  <c r="E90" i="4"/>
  <c r="R90" i="4" s="1"/>
  <c r="E38" i="4"/>
  <c r="R38" i="4" s="1"/>
  <c r="E40" i="4"/>
  <c r="R40" i="4" s="1"/>
  <c r="E59" i="4"/>
  <c r="R59" i="4" s="1"/>
  <c r="E51" i="4"/>
  <c r="R51" i="4" s="1"/>
  <c r="E37" i="4"/>
  <c r="R37" i="4" s="1"/>
  <c r="E71" i="4"/>
  <c r="R71" i="4" s="1"/>
  <c r="E69" i="4"/>
  <c r="R69" i="4" s="1"/>
  <c r="E70" i="4"/>
  <c r="R70" i="4" s="1"/>
  <c r="E26" i="4"/>
  <c r="R26" i="4" s="1"/>
  <c r="E25" i="4"/>
  <c r="R25" i="4" s="1"/>
  <c r="E24" i="4"/>
  <c r="R24" i="4" s="1"/>
  <c r="E27" i="4"/>
  <c r="R27" i="4" s="1"/>
  <c r="E33" i="4"/>
  <c r="R33" i="4" s="1"/>
  <c r="E31" i="4"/>
  <c r="R31" i="4" s="1"/>
  <c r="E29" i="4"/>
  <c r="R29" i="4" s="1"/>
  <c r="E32" i="4"/>
  <c r="R32" i="4" s="1"/>
  <c r="E28" i="4"/>
  <c r="R28" i="4" s="1"/>
  <c r="E30" i="4"/>
  <c r="R30" i="4" s="1"/>
  <c r="E36" i="5"/>
  <c r="R36" i="5" s="1"/>
  <c r="E40" i="5"/>
  <c r="R40" i="5" s="1"/>
  <c r="E32" i="5"/>
  <c r="R32" i="5" s="1"/>
  <c r="E35" i="5"/>
  <c r="R35" i="5" s="1"/>
  <c r="E43" i="5"/>
  <c r="R43" i="5" s="1"/>
  <c r="E33" i="5"/>
  <c r="R33" i="5" s="1"/>
  <c r="E30" i="5"/>
  <c r="R30" i="5" s="1"/>
  <c r="E39" i="5"/>
  <c r="R39" i="5" s="1"/>
  <c r="E41" i="5"/>
  <c r="R41" i="5" s="1"/>
  <c r="E38" i="5"/>
  <c r="R38" i="5" s="1"/>
  <c r="E42" i="5"/>
  <c r="R42" i="5" s="1"/>
  <c r="E31" i="5"/>
  <c r="R31" i="5" s="1"/>
  <c r="E37" i="5"/>
  <c r="R37" i="5" s="1"/>
  <c r="E34" i="5"/>
  <c r="R34" i="5" s="1"/>
  <c r="E55" i="5"/>
  <c r="R55" i="5" s="1"/>
  <c r="E66" i="5"/>
  <c r="R66" i="5" s="1"/>
  <c r="E54" i="5"/>
  <c r="R54" i="5" s="1"/>
  <c r="E64" i="5"/>
  <c r="R64" i="5" s="1"/>
  <c r="E58" i="5"/>
  <c r="R58" i="5" s="1"/>
  <c r="E53" i="5"/>
  <c r="R53" i="5" s="1"/>
  <c r="E57" i="5"/>
  <c r="R57" i="5" s="1"/>
  <c r="E56" i="5"/>
  <c r="R56" i="5" s="1"/>
  <c r="E63" i="5"/>
  <c r="R63" i="5" s="1"/>
  <c r="E59" i="5"/>
  <c r="R59" i="5" s="1"/>
  <c r="E99" i="4"/>
  <c r="E80" i="4"/>
  <c r="R80" i="4" s="1"/>
  <c r="E79" i="4"/>
  <c r="R79" i="4" s="1"/>
  <c r="E72" i="4"/>
  <c r="R72" i="4" s="1"/>
  <c r="E76" i="4"/>
  <c r="R76" i="4" s="1"/>
  <c r="E98" i="4"/>
  <c r="E73" i="4"/>
  <c r="R73" i="4" s="1"/>
  <c r="E83" i="4"/>
  <c r="R83" i="4" s="1"/>
  <c r="E74" i="4"/>
  <c r="R74" i="4" s="1"/>
  <c r="E75" i="4"/>
  <c r="R75" i="4" s="1"/>
  <c r="E81" i="4"/>
  <c r="R81" i="4" s="1"/>
  <c r="E82" i="4"/>
  <c r="R82" i="4" s="1"/>
  <c r="E53" i="4"/>
  <c r="R53" i="4" s="1"/>
  <c r="E62" i="4"/>
  <c r="R62" i="4" s="1"/>
  <c r="E61" i="4"/>
  <c r="R61" i="4" s="1"/>
  <c r="E52" i="4"/>
  <c r="R52" i="4" s="1"/>
  <c r="R65" i="4"/>
  <c r="E22" i="4"/>
  <c r="R22" i="4" s="1"/>
  <c r="E23" i="4"/>
  <c r="R23" i="4" s="1"/>
  <c r="E95" i="4"/>
  <c r="R95" i="4" s="1"/>
  <c r="E93" i="4"/>
  <c r="E89" i="4"/>
  <c r="E62" i="5"/>
  <c r="R62" i="5" s="1"/>
  <c r="E87" i="4"/>
  <c r="R55" i="4"/>
  <c r="E45" i="4"/>
  <c r="R45" i="4" s="1"/>
  <c r="E29" i="5"/>
  <c r="R29" i="5" s="1"/>
  <c r="E44" i="4"/>
  <c r="R44" i="4" s="1"/>
  <c r="E28" i="5"/>
  <c r="R28" i="5" s="1"/>
  <c r="E21" i="4"/>
  <c r="E51" i="5"/>
  <c r="E49" i="4"/>
  <c r="R49" i="4" s="1"/>
  <c r="E69" i="5"/>
  <c r="E61" i="5"/>
  <c r="R61" i="5" s="1"/>
  <c r="E52" i="5"/>
  <c r="R52" i="5" s="1"/>
  <c r="E27" i="5"/>
  <c r="R27" i="5" s="1"/>
  <c r="E21" i="5"/>
  <c r="E50" i="4"/>
  <c r="R50" i="4" s="1"/>
  <c r="E26" i="5"/>
  <c r="R26" i="5" s="1"/>
  <c r="E20" i="5"/>
  <c r="E25" i="5"/>
  <c r="R25" i="5" s="1"/>
  <c r="E19" i="5"/>
  <c r="E48" i="4"/>
  <c r="R48" i="4" s="1"/>
  <c r="E46" i="4"/>
  <c r="R46" i="4" s="1"/>
  <c r="E24" i="5"/>
  <c r="R24" i="5" s="1"/>
  <c r="E47" i="4"/>
  <c r="R47" i="4" s="1"/>
  <c r="E23" i="5"/>
  <c r="R20" i="5" l="1"/>
  <c r="R19" i="5"/>
  <c r="R51" i="5"/>
  <c r="R69" i="5"/>
  <c r="R21" i="4"/>
  <c r="R21" i="5"/>
  <c r="R23" i="5"/>
</calcChain>
</file>

<file path=xl/sharedStrings.xml><?xml version="1.0" encoding="utf-8"?>
<sst xmlns="http://schemas.openxmlformats.org/spreadsheetml/2006/main" count="3790" uniqueCount="849">
  <si>
    <t>중요성 기준 설정 (Materiality)</t>
    <phoneticPr fontId="9" type="noConversion"/>
  </si>
  <si>
    <t>• 재무제표 정보이용자가 누구인지</t>
    <phoneticPr fontId="18" type="noConversion"/>
  </si>
  <si>
    <t>• 재무제표 정보이용자의 판단이나 의사결정에 중요한 영향을 미치는 항목</t>
    <phoneticPr fontId="18" type="noConversion"/>
  </si>
  <si>
    <t>• 재무제표 요소의 크기 (예: 유동 자산, 유동 부채, 총자산, 총수익, 순이익) 및 재무제표 종류 (예: 재무상태표, 손익계산서, 현금흐름표)</t>
    <phoneticPr fontId="18" type="noConversion"/>
  </si>
  <si>
    <t xml:space="preserve">• 회사 업종의 특성 </t>
    <phoneticPr fontId="18" type="noConversion"/>
  </si>
  <si>
    <t>• 잔액이나 특정 거래 평가가 어려운 정도</t>
    <phoneticPr fontId="18" type="noConversion"/>
  </si>
  <si>
    <t>• 재무제표의 주요 추세(예: 이익, 매출, 현금흐름 등)</t>
    <phoneticPr fontId="18" type="noConversion"/>
  </si>
  <si>
    <t>구분</t>
    <phoneticPr fontId="18" type="noConversion"/>
  </si>
  <si>
    <t>매출</t>
    <phoneticPr fontId="18" type="noConversion"/>
  </si>
  <si>
    <t>세전이익</t>
    <phoneticPr fontId="18" type="noConversion"/>
  </si>
  <si>
    <t>조정세전순이익*</t>
    <phoneticPr fontId="18" type="noConversion"/>
  </si>
  <si>
    <t>* 조정세전순이익</t>
    <phoneticPr fontId="18" type="noConversion"/>
  </si>
  <si>
    <t>세전이익</t>
    <phoneticPr fontId="18" type="noConversion"/>
  </si>
  <si>
    <t>조정</t>
    <phoneticPr fontId="18" type="noConversion"/>
  </si>
  <si>
    <t>조정후 세전순이익</t>
    <phoneticPr fontId="18" type="noConversion"/>
  </si>
  <si>
    <t>benchmark 1</t>
    <phoneticPr fontId="23" type="noConversion"/>
  </si>
  <si>
    <t>benchmark 2</t>
    <phoneticPr fontId="23" type="noConversion"/>
  </si>
  <si>
    <t>Benchmark:</t>
    <phoneticPr fontId="18" type="noConversion"/>
  </si>
  <si>
    <t>조정 세전순이익</t>
  </si>
  <si>
    <t>영업수익(매출액)</t>
  </si>
  <si>
    <t>Benchmark balance</t>
    <phoneticPr fontId="18" type="noConversion"/>
  </si>
  <si>
    <t>Factor:</t>
    <phoneticPr fontId="18" type="noConversion"/>
  </si>
  <si>
    <t>Calculated amount:</t>
    <phoneticPr fontId="18" type="noConversion"/>
  </si>
  <si>
    <t>&lt;설정근거&gt;</t>
    <phoneticPr fontId="9" type="noConversion"/>
  </si>
  <si>
    <t>Notes</t>
  </si>
  <si>
    <t>Note 2</t>
  </si>
  <si>
    <t>중요성의 결정(Determine Materiality)</t>
    <phoneticPr fontId="16" type="noConversion"/>
  </si>
  <si>
    <t>(a) 감사대상기간의 거래 및 사건의 유형에 대한 경영진주장</t>
  </si>
  <si>
    <t>(i) 발생사실 –기록된 거래와 사건은 발생되었고 기업에 귀속됨</t>
  </si>
  <si>
    <t>(ii) 완전성 – 기록되어야 하는 모든 거래와 사건은 기록되었음</t>
  </si>
  <si>
    <t>(iii) 정확성 – 기록된 거래와 사건에 관련된 금액 및 기타 데이터는 적합하게</t>
  </si>
  <si>
    <t>기록되었음</t>
  </si>
  <si>
    <t>(iv) 기간귀속 –거래와 사건은 해당 보고기간에 기록되었음</t>
  </si>
  <si>
    <t>(v) 분류 – 거래와 사건은 적절한 계정으로 기록되었음</t>
  </si>
  <si>
    <t>(b) 보고기간말 계정잔액에 대한 경영진주장</t>
  </si>
  <si>
    <t>(i) 실재성 – 자산, 부채 및 주주지분은 실재함</t>
  </si>
  <si>
    <t>(ii) 권리와 의무 – 기업은 자산에 대한 권리를 보유하거나 통제하고 있으며 부채는</t>
  </si>
  <si>
    <t>기업의 의무임</t>
  </si>
  <si>
    <t>(iii) 완전성 – 기록되어야 하는 자산, 부채 및 주주지분은 모두 기록되었음</t>
  </si>
  <si>
    <t>(iv) 평가와 배분 – 자산, 부채 및 주주지분은 적합한 금액으로 재무제표에 계상되어</t>
    <phoneticPr fontId="18" type="noConversion"/>
  </si>
  <si>
    <t>있으며, 평가나 배분의 결과는 적합하게 기록되어 있음</t>
  </si>
  <si>
    <t>(c) 표시와 공시에 대한 경영진주장</t>
  </si>
  <si>
    <t>(i) 발생사실과 권리와 의무 – 공시된 사건, 거래와 기타사항들은 발생되었으며 기업에</t>
  </si>
  <si>
    <t>귀속됨</t>
  </si>
  <si>
    <t>(ii) 완전성 – 재무제표에 포함되어야 하는 공시들은 모두 포함되어 있음</t>
  </si>
  <si>
    <t>(iii) 분류와 이해가능성 – 재무정보는 적절하게 표시되고 기술되어 있으며, 공시들은</t>
    <phoneticPr fontId="18" type="noConversion"/>
  </si>
  <si>
    <t>명확하게 표현되어 있음</t>
  </si>
  <si>
    <t>(iv) 정확성과 평가 – 재무정보 및 기타의 정보는 공정하게 그리고 적합한 금액으로</t>
    <phoneticPr fontId="18" type="noConversion"/>
  </si>
  <si>
    <t>공시되어 있음</t>
  </si>
  <si>
    <t>Low</t>
  </si>
  <si>
    <t>High</t>
  </si>
  <si>
    <t>1. 일반사항</t>
  </si>
  <si>
    <t>- 이 Spreadsheet는 회사의 재무제표상 계정과목에 대한 질적 중요성을 측정하는데 그 목적이 있음</t>
  </si>
  <si>
    <t>2. 질적중요성의 판단</t>
  </si>
  <si>
    <t>- 양적 기준 검토 결과 "N"라고 파악된 계정과목 및 주석정보에 대하여 2차적으로 질적중요성 검토를 수행함</t>
  </si>
  <si>
    <t>Medium</t>
  </si>
  <si>
    <t>- Risk Rating은 단순평균방식으로 계산되며, Rating결과가 2(Medium)을 초과할 경우 질적으로 중요하다고 판단함</t>
  </si>
  <si>
    <t>(단위 : 백만원)</t>
    <phoneticPr fontId="18" type="noConversion"/>
  </si>
  <si>
    <t>계정과목 내 개별 거래의 복잡성, 동질성</t>
    <phoneticPr fontId="31" type="noConversion"/>
  </si>
  <si>
    <t>추정이나 판단이 개입되는 회계처리 및 평가</t>
    <phoneticPr fontId="16" type="noConversion"/>
  </si>
  <si>
    <t>회계처리 및 보고의 복잡성</t>
    <phoneticPr fontId="18" type="noConversion"/>
  </si>
  <si>
    <t>우발채무의 발생가능성</t>
    <phoneticPr fontId="18" type="noConversion"/>
  </si>
  <si>
    <t>특수관계자와 유의적 거래의 존재 여부</t>
    <phoneticPr fontId="18" type="noConversion"/>
  </si>
  <si>
    <t>계정과목 성격의 변화 및 당기 금액 변화 정도</t>
    <phoneticPr fontId="18" type="noConversion"/>
  </si>
  <si>
    <t>비 경상적인 거래</t>
    <phoneticPr fontId="18" type="noConversion"/>
  </si>
  <si>
    <t>관련 회계처리 기준의 변경</t>
    <phoneticPr fontId="18" type="noConversion"/>
  </si>
  <si>
    <t>법규 및 감독당국의 강조 사항</t>
    <phoneticPr fontId="18" type="noConversion"/>
  </si>
  <si>
    <t>주요한 외부환경의 변화가 존재하는 계정</t>
    <phoneticPr fontId="18" type="noConversion"/>
  </si>
  <si>
    <t>계정과목</t>
    <phoneticPr fontId="18" type="noConversion"/>
  </si>
  <si>
    <t>질적
유의여부</t>
    <phoneticPr fontId="31" type="noConversion"/>
  </si>
  <si>
    <t>유의성
결론</t>
    <phoneticPr fontId="9" type="noConversion"/>
  </si>
  <si>
    <t>자산</t>
    <phoneticPr fontId="18" type="noConversion"/>
  </si>
  <si>
    <t>O</t>
  </si>
  <si>
    <t>이연법인세자산</t>
    <phoneticPr fontId="18" type="noConversion"/>
  </si>
  <si>
    <t>선급비용</t>
  </si>
  <si>
    <t>자산총계</t>
    <phoneticPr fontId="18" type="noConversion"/>
  </si>
  <si>
    <t>자본</t>
  </si>
  <si>
    <t>I.자본금</t>
    <phoneticPr fontId="18" type="noConversion"/>
  </si>
  <si>
    <t>보통주자본금</t>
  </si>
  <si>
    <t>미처분이익잉여금</t>
  </si>
  <si>
    <t>자본총계</t>
  </si>
  <si>
    <t>부채</t>
    <phoneticPr fontId="18" type="noConversion"/>
  </si>
  <si>
    <t>부채총계</t>
  </si>
  <si>
    <t>부채와 자본총계</t>
  </si>
  <si>
    <t>계정과목 내 개별 거래의 복잡성, 동질성</t>
    <phoneticPr fontId="31" type="noConversion"/>
  </si>
  <si>
    <t>추정이나 판단이 개입되는 회계처리 및 평가</t>
    <phoneticPr fontId="16" type="noConversion"/>
  </si>
  <si>
    <t>회계처리 및 보고의 복잡성</t>
    <phoneticPr fontId="18" type="noConversion"/>
  </si>
  <si>
    <t>우발채무의 발생가능성</t>
    <phoneticPr fontId="18" type="noConversion"/>
  </si>
  <si>
    <t>특수관계자와 유의적 거래의 존재 여부</t>
    <phoneticPr fontId="18" type="noConversion"/>
  </si>
  <si>
    <t>계정과목 성격의 변화 및 당기 금액 변화 정도</t>
    <phoneticPr fontId="18" type="noConversion"/>
  </si>
  <si>
    <t>비 경상적인 거래</t>
    <phoneticPr fontId="18" type="noConversion"/>
  </si>
  <si>
    <t>관련 회계처리 기준의 변경</t>
    <phoneticPr fontId="18" type="noConversion"/>
  </si>
  <si>
    <t>법규 및 감독당국의 강조 사항</t>
    <phoneticPr fontId="18" type="noConversion"/>
  </si>
  <si>
    <t>주요한 외부환경의 변화가 존재하는 계정</t>
    <phoneticPr fontId="18" type="noConversion"/>
  </si>
  <si>
    <t>질적기준</t>
    <phoneticPr fontId="31" type="noConversion"/>
  </si>
  <si>
    <t>질적판단
근거</t>
    <phoneticPr fontId="31" type="noConversion"/>
  </si>
  <si>
    <t>유의성
결론</t>
    <phoneticPr fontId="9" type="noConversion"/>
  </si>
  <si>
    <t>무형자산상각비</t>
  </si>
  <si>
    <t>법인세비용</t>
  </si>
  <si>
    <t>계정과목 내 개별 거래의 복잡성, 동질성</t>
    <phoneticPr fontId="31" type="noConversion"/>
  </si>
  <si>
    <t>회계처리 및 보고의 복잡성</t>
    <phoneticPr fontId="18" type="noConversion"/>
  </si>
  <si>
    <t>특수관계자와 유의적 거래의 존재 여부</t>
    <phoneticPr fontId="18" type="noConversion"/>
  </si>
  <si>
    <t>관련 회계처리 기준의 변경</t>
    <phoneticPr fontId="18" type="noConversion"/>
  </si>
  <si>
    <t>계정과목</t>
    <phoneticPr fontId="18" type="noConversion"/>
  </si>
  <si>
    <t>질적기준</t>
    <phoneticPr fontId="31" type="noConversion"/>
  </si>
  <si>
    <t>질적
유의여부</t>
    <phoneticPr fontId="31" type="noConversion"/>
  </si>
  <si>
    <t>질적판단
근거</t>
    <phoneticPr fontId="31" type="noConversion"/>
  </si>
  <si>
    <t>유의성
결론</t>
    <phoneticPr fontId="9" type="noConversion"/>
  </si>
  <si>
    <t>Disclosure</t>
    <phoneticPr fontId="31" type="noConversion"/>
  </si>
  <si>
    <t>Process Code</t>
  </si>
  <si>
    <t>Process Name</t>
  </si>
  <si>
    <t>Sub Process Code</t>
  </si>
  <si>
    <t>Sub Process Name</t>
  </si>
  <si>
    <t>매출채권</t>
    <phoneticPr fontId="18" type="noConversion"/>
  </si>
  <si>
    <t>단기금융상품</t>
    <phoneticPr fontId="18" type="noConversion"/>
  </si>
  <si>
    <t>(단위 : 원)</t>
    <phoneticPr fontId="18" type="noConversion"/>
  </si>
  <si>
    <t>• 직전 평가기간에 손실이 발생했거나 이익규모가 적은 경우(또는 당해 평가기간에 손실이 발생하거나 적을 것으로 예상되는 경우)</t>
    <phoneticPr fontId="8" type="noConversion"/>
  </si>
  <si>
    <t>• 사업 초기단계로서 세전순이익의 변동성이 크거나 빠르게 성장하는 경우</t>
    <phoneticPr fontId="8" type="noConversion"/>
  </si>
  <si>
    <t>• 영업활동이 거의 없는 회사의 경우</t>
    <phoneticPr fontId="8" type="noConversion"/>
  </si>
  <si>
    <t>• 세전순이익이 영업의 규모를 적절히 반영하지 못하는 경우</t>
    <phoneticPr fontId="8" type="noConversion"/>
  </si>
  <si>
    <t>1. 중요성 기준 결정</t>
    <phoneticPr fontId="16" type="noConversion"/>
  </si>
  <si>
    <t>구 분</t>
    <phoneticPr fontId="23" type="noConversion"/>
  </si>
  <si>
    <t>② 유의한 왜곡표시 금액 설정율</t>
    <phoneticPr fontId="18" type="noConversion"/>
  </si>
  <si>
    <t>가. 과거 3개년 주요 benchmark</t>
    <phoneticPr fontId="18" type="noConversion"/>
  </si>
  <si>
    <t>특정 계정과목이 다양한 거래와 관련하여 처리되거나, 관련 거래가 복잡할수록 그 계정과목 (예를 들어, 복잡한 구조의 투자 상품)은 재무제표 왜곡표시를 야기할 위험이 크기 때문에 중요성 금액 또는 수행 중요성 기준 이하라 하더라도 내부회계관리제도의 평가범위에 포함할 것을 고려한다.</t>
    <phoneticPr fontId="9" type="noConversion"/>
  </si>
  <si>
    <t>회계처리 상 복잡한 추정이나 판단을 요하거나 불확실성이 높은 계정과목(예를 들어, 판매보증충당부채, 공사손실충당부채, 소송충당부채 등)은 계산상의 오류나 경영진의 의도적인 재무제표 왜곡표시가 발생할 가능성이 상대적으로 높다.</t>
    <phoneticPr fontId="9" type="noConversion"/>
  </si>
  <si>
    <t>③ 회계처리 및 보고의 복잡성:</t>
    <phoneticPr fontId="23" type="noConversion"/>
  </si>
  <si>
    <t>② 추정이나 판단이 개입되는 회계처리 및 평가:</t>
    <phoneticPr fontId="9" type="noConversion"/>
  </si>
  <si>
    <t>신규 또는 복잡한 회계처리의 영향을 받는 계정과목(특히, 당해 회계처리와 관련하여 다양한 해석이 존재하는 경우)은 재무제표 왜곡표시의 위험이 상대적으로 높다.</t>
    <phoneticPr fontId="9" type="noConversion"/>
  </si>
  <si>
    <t>특정 계정과목과 관련되어 수행하는 업무프로세스에서 유의한 우발채무가 발생할 가능성이 높은 경우 양적 요소에 추가하여 고려한다.</t>
    <phoneticPr fontId="9" type="noConversion"/>
  </si>
  <si>
    <t>④ 우발채무의 발생가능성</t>
    <phoneticPr fontId="23" type="noConversion"/>
  </si>
  <si>
    <t>⑤ 특수관계자와 유의적 거래의 존재 여부:</t>
    <phoneticPr fontId="23" type="noConversion"/>
  </si>
  <si>
    <t>특수관계자와의 거래는 제3자와의 거래에 비하여 의도적인 재무제표 왜곡표시의 가능성이 상대적으로 높기 때문에 양적 요소에 추가하여 고려한다.</t>
    <phoneticPr fontId="9" type="noConversion"/>
  </si>
  <si>
    <t>⑥ 계정과목 성격의 변화 및 당기 금액 변화 정도:</t>
    <phoneticPr fontId="23" type="noConversion"/>
  </si>
  <si>
    <t>회사의 회계정책 등의 변경으로 당기 계정과목의 성격이 변화한 경우나 당기 금액의 급격한 변화가 존재하는 경우는 재무제표 왜곡표시 위험이 상대적으로 높다. 당기 이전부터 계속 유의한 계정과목으로 분류된 계정과목의 금액이 당기에 중요성 금액 또는 수행 중요성 기준에 미치지 못하는 경우 계정과목 규모의 감소가 일시적인 것인지의 여부를 추가적으로 검토하고, 향후 지속적으로 양적 요소를 충족시키지 못할 가능성이 낮지 않은 경우에는 유의한 계정과목 등으로의 분류를 고려한다.</t>
    <phoneticPr fontId="9" type="noConversion"/>
  </si>
  <si>
    <t>빈번하게 발생하지 않는 거래와 관련된 회계처리의 경우 재무제표 왜곡표시 위험이 크다고 판단할 수 있다.</t>
    <phoneticPr fontId="9" type="noConversion"/>
  </si>
  <si>
    <t>⑧ 관련 회계처리 기준의 변경:</t>
    <phoneticPr fontId="23" type="noConversion"/>
  </si>
  <si>
    <t>⑨ 법규 및 감독당국의 강조 사항:</t>
    <phoneticPr fontId="23" type="noConversion"/>
  </si>
  <si>
    <t>⑩ 주요한 외부환경의 변화가 존재하는 계정:</t>
    <phoneticPr fontId="23" type="noConversion"/>
  </si>
  <si>
    <t>회사가 회계처리 기준을 변경하거나 새로운 회계처리기준의 도입과 관련된 계정과목 역시 재무제표 왜곡표시 위험이 증가한다.</t>
    <phoneticPr fontId="23" type="noConversion"/>
  </si>
  <si>
    <t>금융감독원 등의 규제기관에서 강조하거나 감리 등을 통해 지적되는 항목은 일반적으로 재무제표 왜곡표시 위험이 크다고 판단할 수 있다.</t>
    <phoneticPr fontId="23" type="noConversion"/>
  </si>
  <si>
    <t>회사의 사업을 영위하는 외부환경에 중요하거나 급격한 변화가 존재하는 경우 이와 관련된 계정과목은 일반적으로 재무제표 왜곡표시 위험이 크다고 판단할 수 있다.</t>
    <phoneticPr fontId="23" type="noConversion"/>
  </si>
  <si>
    <t>유의한 계정과목 및 공시(BS)</t>
    <phoneticPr fontId="31" type="noConversion"/>
  </si>
  <si>
    <t>유의한 주석공시</t>
    <phoneticPr fontId="31" type="noConversion"/>
  </si>
  <si>
    <t>Note 1</t>
    <phoneticPr fontId="18" type="noConversion"/>
  </si>
  <si>
    <t>양적
유의여부*</t>
    <phoneticPr fontId="31" type="noConversion"/>
  </si>
  <si>
    <t>Step</t>
    <phoneticPr fontId="9" type="noConversion"/>
  </si>
  <si>
    <t>Document</t>
    <phoneticPr fontId="9" type="noConversion"/>
  </si>
  <si>
    <t>Note 3</t>
    <phoneticPr fontId="18" type="noConversion"/>
  </si>
  <si>
    <t xml:space="preserve">예: Risk을 판단하기 위하여 고려하여야 할 요소를 검토한 결과, 시스템으로 대금청구가 자동으로 이루어지며 미청구 금액에 대하여 적정한 관리자가 검토하고 있으므로 그 금액적 효과도 작을 것으로 판단되어 Low risk로 분류함. </t>
    <phoneticPr fontId="18" type="noConversion"/>
  </si>
  <si>
    <t>(3) 부정 발생의 가능성</t>
    <phoneticPr fontId="18" type="noConversion"/>
  </si>
  <si>
    <t>(4) 계정과목 등을 구성하는 거래의 성격 또는 규모의 변화 정도</t>
    <phoneticPr fontId="18" type="noConversion"/>
  </si>
  <si>
    <t>(1) 회계 처리의 복잡성</t>
    <phoneticPr fontId="18" type="noConversion"/>
  </si>
  <si>
    <t>(2) 계정과목 등의 금액을 결정하는데 필요한 판단의 정도</t>
    <phoneticPr fontId="18" type="noConversion"/>
  </si>
  <si>
    <t>(5) 기술적, 경제적 발전과 같은 환경적 변화에 대한 민감도</t>
    <phoneticPr fontId="18" type="noConversion"/>
  </si>
  <si>
    <t xml:space="preserve">2. Significant Risk에 해당되는지 여부를 확인하기 위해 고려한 사항 : 위 Risk 평가항목 중 High항목이 4개 이상인 경우에는 반드시 Significant Risk로 판단하고, 1개 이하인 경우에만 Low Risk로 판단할 수 있음. 다만, 부정 발생의 가능성이 High인 경우에는 Significant Risk로 반드시 구분함. </t>
    <phoneticPr fontId="18" type="noConversion"/>
  </si>
  <si>
    <t>[내부회계관리제도 평가 및 보고 모범규준: 평가 시 필요한 증거자료 결정 -문단 54 ]</t>
    <phoneticPr fontId="16" type="noConversion"/>
  </si>
  <si>
    <t>1. 위험평가시 경영진은 중요한 왜곡표시가 발생하기 쉬운 거래, 계정잔액 또는 기타 정보를 포함하는 재무보고 요소를 고려한다. 재무보고 요소에서 중요한 왜곡표시의 발생가능성은 다음을 고려하여 판단한다.</t>
    <phoneticPr fontId="18" type="noConversion"/>
  </si>
  <si>
    <t xml:space="preserve">3. Risk를 판단한 전반적인 근거를 기재한다. </t>
    <phoneticPr fontId="18" type="noConversion"/>
  </si>
  <si>
    <t>Note 4</t>
    <phoneticPr fontId="18" type="noConversion"/>
  </si>
  <si>
    <t>[회계감사기준: 경영진 주장 -문단 A124 ]</t>
    <phoneticPr fontId="16" type="noConversion"/>
  </si>
  <si>
    <t xml:space="preserve">[별도재무제표: 감사대상] </t>
    <phoneticPr fontId="18" type="noConversion"/>
  </si>
  <si>
    <t>57 계정과목 및 주석정보가 개별적 또는 다른 계정과목이나 주석정보와 결합하여 재무제표의 중요한 왜곡표시가 합리적인 수준 이상으로 발생 가능하다면, 이를 유의한 계정과목 및 주석정보(“유의한 계정과목 등”)라 한다.</t>
    <phoneticPr fontId="18" type="noConversion"/>
  </si>
  <si>
    <t>65 중요성 금액으로 총자산 기준을 사용하는 경우 총자산의 구성내용에 대한 검토가 필요한 경우도 있다. 예를 들어, 총자산 중 영업권 등 무형자산의 비중이 큰 경우 이를 포함한 중요성 금액이 회사의 규모 및 특성을 대표할 수 있는지 검토한다.</t>
    <phoneticPr fontId="23" type="noConversion"/>
  </si>
  <si>
    <t>① 계정과목 내 개별 거래의 규모, 복잡성, 동질성:</t>
    <phoneticPr fontId="9" type="noConversion"/>
  </si>
  <si>
    <t>[내부회계관리제도 평가 및 보고 적용기법: 질적요소 42]</t>
    <phoneticPr fontId="9" type="noConversion"/>
  </si>
  <si>
    <t>[내부회계관리제도 평가 및 보고 실무사례: 수행 중요성(Performance Materiality) -문단 40]</t>
    <phoneticPr fontId="16" type="noConversion"/>
  </si>
  <si>
    <t>계정과목</t>
    <phoneticPr fontId="18" type="noConversion"/>
  </si>
  <si>
    <t>양적중요성
Factor</t>
    <phoneticPr fontId="18" type="noConversion"/>
  </si>
  <si>
    <t>토지</t>
  </si>
  <si>
    <t>건물</t>
  </si>
  <si>
    <t>① Materiality by Entity:</t>
    <phoneticPr fontId="18" type="noConversion"/>
  </si>
  <si>
    <t>③ 유의한 왜곡표시 금액기준(Significant Misstatement Threshold)</t>
    <phoneticPr fontId="18" type="noConversion"/>
  </si>
  <si>
    <t>다음 Guidance는 Materiality를 결정하기 위해 선택한 benchmark에 적용할 적절한 비율을 결정하기 위한 참조를 제공한다:
• 세전계속사업이익의 5 ~ 10% 
• 매출액의 0.0 ~ 5 % 
• 총자산의 1 ~ 2 %
• 총자본(혹은 순자산)의 3 % 이하
• 총비용의 3 ~ 5 %
• 영업활동으로 인한 현금흐름의 3 ~ 5 %</t>
    <phoneticPr fontId="16" type="noConversion"/>
  </si>
  <si>
    <t xml:space="preserve">위험평가 </t>
    <phoneticPr fontId="18" type="noConversion"/>
  </si>
  <si>
    <t>유의한 계정과목 및 공시(영업활동현금흐름)</t>
    <phoneticPr fontId="31" type="noConversion"/>
  </si>
  <si>
    <t>유의한 계정과목 및 공시(PL)</t>
    <phoneticPr fontId="31" type="noConversion"/>
  </si>
  <si>
    <t>필요하다. 이에 위험평가 절차가 문서화되지 않거나 적절하지 않은 경우에는 내부회계관리제도가 적절하게 설계 운영되지 못할 가능성이 높다.</t>
    <phoneticPr fontId="23" type="noConversion"/>
  </si>
  <si>
    <r>
      <t xml:space="preserve">다만, 회사의 과거 경험에 비추어 특정 평가기간의 중요성 금액을 결정하는데 사용하는 세전순이익이 비경상적이라고 판단하는 경우, 경영진은 </t>
    </r>
    <r>
      <rPr>
        <sz val="10"/>
        <color rgb="FFFF0000"/>
        <rFont val="나눔고딕"/>
        <family val="3"/>
        <charset val="129"/>
      </rPr>
      <t xml:space="preserve">비경상적이거나 비반복적인 성격의 항목을 고려하여 조정한 세전순이익을 사용할 수 있다. </t>
    </r>
    <phoneticPr fontId="18" type="noConversion"/>
  </si>
  <si>
    <t>⑦ 비경상적인 거래:</t>
    <phoneticPr fontId="23" type="noConversion"/>
  </si>
  <si>
    <r>
      <rPr>
        <b/>
        <sz val="10"/>
        <color theme="1"/>
        <rFont val="나눔고딕"/>
        <family val="3"/>
        <charset val="129"/>
      </rPr>
      <t>148</t>
    </r>
    <r>
      <rPr>
        <sz val="10"/>
        <color theme="1"/>
        <rFont val="나눔고딕"/>
        <family val="3"/>
        <charset val="129"/>
      </rPr>
      <t xml:space="preserve"> 일반적으로 거래 수준 통제활동을 평가하지 않고 전사적 수준의 통제활동의 미비점이 존재한다는 이유만으로 내부회계관리제도가 효과적이지 않다고 결론 내리지 않는다. 다만, 내부회계관리제도와 관련하여 외감법과 시행령 등에서 강조되는 감사(위원회)의 기능이 미흡하거나 내부회계관리규정을 위반한 경영진의 지시사항에 대응하는 절차에 단순하지 않은 미비점이 존재하는 경우에는 이는 중요한 취약점의 징후로 고려되어야 한다. 또한, 위험평가 과정에서 중요한 누락이 발생하는 미비점이 존재하는 경우, 예를 들어 중요한 주석 항목이나 </t>
    </r>
    <r>
      <rPr>
        <sz val="10"/>
        <color rgb="FFFF0000"/>
        <rFont val="나눔고딕"/>
        <family val="3"/>
        <charset val="129"/>
      </rPr>
      <t>현금흐름표의 영업현금 관련 항목이 평가에서 제외되는 경우 경영진은 해당 부분의 내부통제활동의 평가를 수행하지 않고 내부회계관리제도의 설계와 운영이 적정하다고 결론 내릴 수 없을 것이다.</t>
    </r>
    <r>
      <rPr>
        <sz val="10"/>
        <color theme="1"/>
        <rFont val="나눔고딕"/>
        <family val="3"/>
        <charset val="129"/>
      </rPr>
      <t xml:space="preserve"> 법령에서 강조하는 사항이나 회사가 선택한 체계에서 정의한 효과적인 내부회계관리제도에 부합하지 않는 경우 이는 적어도 유의한 미비점 이상으로 간주되어야 한다.</t>
    </r>
    <phoneticPr fontId="18" type="noConversion"/>
  </si>
  <si>
    <r>
      <t xml:space="preserve">한편, </t>
    </r>
    <r>
      <rPr>
        <sz val="10"/>
        <color rgb="FFFF0000"/>
        <rFont val="나눔고딕"/>
        <family val="3"/>
        <charset val="129"/>
      </rPr>
      <t>세전순이익이 중요성 금액을 결정하는데 적절하지 않다고 판단하는 경우에는, 총자산 또는 영업수익(또는 매출액)을 이용할 수 있다. 경영진은 중요성 금액의 산출근거를 적절히 문서화한다.</t>
    </r>
    <phoneticPr fontId="18" type="noConversion"/>
  </si>
  <si>
    <t>2. 양적 중요성 기준</t>
    <phoneticPr fontId="9" type="noConversion"/>
  </si>
  <si>
    <t>3. 질적 중요성 기준</t>
    <phoneticPr fontId="9" type="noConversion"/>
  </si>
  <si>
    <r>
      <t xml:space="preserve">66 </t>
    </r>
    <r>
      <rPr>
        <sz val="10"/>
        <color rgb="FFFF0000"/>
        <rFont val="나눔고딕"/>
        <family val="3"/>
        <charset val="129"/>
      </rPr>
      <t>세전순이익 기준보다 총자산 또는 영업수익(또는 매출액) 기준을 적용하는 것이 더 적절한 경우의 예</t>
    </r>
    <r>
      <rPr>
        <sz val="10"/>
        <color theme="1"/>
        <rFont val="나눔고딕"/>
        <family val="3"/>
        <charset val="129"/>
      </rPr>
      <t>는 다음과 같다.</t>
    </r>
    <phoneticPr fontId="23" type="noConversion"/>
  </si>
  <si>
    <r>
      <t xml:space="preserve">58 경영진은 다음과 같은 </t>
    </r>
    <r>
      <rPr>
        <sz val="10"/>
        <color rgb="FFFF0000"/>
        <rFont val="나눔고딕"/>
        <family val="3"/>
        <charset val="129"/>
      </rPr>
      <t>양적 요소와 질적 요소를 모두 고려</t>
    </r>
    <r>
      <rPr>
        <sz val="10"/>
        <color theme="1"/>
        <rFont val="나눔고딕"/>
        <family val="3"/>
        <charset val="129"/>
      </rPr>
      <t>하여 외부 재무보고의 유의한 계정과목 등을 선정한다.</t>
    </r>
    <phoneticPr fontId="18" type="noConversion"/>
  </si>
  <si>
    <t>내부회계관리제도 평가 및 보고 적용기법 148</t>
    <phoneticPr fontId="18" type="noConversion"/>
  </si>
  <si>
    <t>A124 감사인이 여러 가지 발생가능한 잠재적인 왜곡표시의 유형들을 고려하기 위해 이용하는 경영진주장은 다음의 세 가지 범주로 분류된다.</t>
    <phoneticPr fontId="18" type="noConversion"/>
  </si>
  <si>
    <r>
      <rPr>
        <sz val="10"/>
        <color rgb="FFFF0000"/>
        <rFont val="나눔고딕"/>
        <family val="3"/>
        <charset val="129"/>
      </rPr>
      <t xml:space="preserve">세부 계정의 수준에서 계정의 위험의 정도를 결정한다. </t>
    </r>
    <r>
      <rPr>
        <sz val="10"/>
        <color theme="1"/>
        <rFont val="나눔고딕"/>
        <family val="3"/>
        <charset val="129"/>
      </rPr>
      <t>위험을 식별하고 분석하는 절차는 다음을 포함하는 양적 요소와 질적 요소를 모두 고려한다. 이러한 위험평가결과와 위험 대응 방안은 감사(위원회) 및 내부회계관리자의 확인과 검토가</t>
    </r>
    <phoneticPr fontId="23" type="noConversion"/>
  </si>
  <si>
    <r>
      <t xml:space="preserve">64 하기와 같은 양적 요소와 질적 요소를 고려하여 주요 재무제표 항목별 잠재적인 중요한 왜곡표시 발생 위험을 평가하고 그 결과를 높음, 중간 및 낮음 등으로 분류한다. </t>
    </r>
    <r>
      <rPr>
        <sz val="10"/>
        <color rgb="FFFF0000"/>
        <rFont val="나눔고딕"/>
        <family val="3"/>
        <charset val="129"/>
      </rPr>
      <t>만일 특정 계정에 속하는 세부 계정에 따라 위험의 정도가 다른 경우</t>
    </r>
    <phoneticPr fontId="23" type="noConversion"/>
  </si>
  <si>
    <t>- 계정과목 및 주석사항에 대하여 10가지 질적 요소에 대한 평가를 통해 Risk Rating을 실시</t>
    <phoneticPr fontId="18" type="noConversion"/>
  </si>
  <si>
    <t>[내부회계관리기준 설계운영 적용기법_7.2 계정과목 등에 대한 위험 평가 ]</t>
    <phoneticPr fontId="18" type="noConversion"/>
  </si>
  <si>
    <t>[내부회계관리기준 설계운영 적용기법_6.3 중요성의 고려 ]</t>
    <phoneticPr fontId="18" type="noConversion"/>
  </si>
  <si>
    <r>
      <t>유의한 계정과목 등을 식별하기 위한 양적 요소는 계정과목의 금액을 고려하며, 일반적으로 설계·운영
적용기법에서 제시하는 "중요성" 기준과 “수행 중요성(Performance Materiality)" 기준을 활용한다. 경영진은 내부회계관리제도 평가 과정에서 회사에 존재하는 미비점을 발견하지 못할 가능성에 대비하여 보수적으로 중요성 기준의</t>
    </r>
    <r>
      <rPr>
        <sz val="10"/>
        <color rgb="FFFF0000"/>
        <rFont val="나눔고딕"/>
        <family val="3"/>
        <charset val="129"/>
      </rPr>
      <t xml:space="preserve"> </t>
    </r>
    <r>
      <rPr>
        <b/>
        <sz val="10"/>
        <color rgb="FFFF0000"/>
        <rFont val="나눔고딕"/>
        <family val="3"/>
        <charset val="129"/>
      </rPr>
      <t>50~75%</t>
    </r>
    <r>
      <rPr>
        <sz val="10"/>
        <rFont val="나눔고딕"/>
        <family val="3"/>
        <charset val="129"/>
      </rPr>
      <t xml:space="preserve">를 적용한 </t>
    </r>
    <r>
      <rPr>
        <sz val="10"/>
        <color rgb="FFFF0000"/>
        <rFont val="나눔고딕"/>
        <family val="3"/>
        <charset val="129"/>
      </rPr>
      <t>수행 중요성 기준으로 유의한 계정과목을 선정</t>
    </r>
    <r>
      <rPr>
        <sz val="10"/>
        <rFont val="나눔고딕"/>
        <family val="3"/>
        <charset val="129"/>
      </rPr>
      <t>한다. 수행 중요성을 적용함에 따라, 유의한 계정이 추가로 선정되어 회사의 내부회계관리제도 평가가 잘못 수행될 위험을 최소화 할 수 있다.</t>
    </r>
    <phoneticPr fontId="16" type="noConversion"/>
  </si>
  <si>
    <t xml:space="preserve"> (2) 재   고    자   산</t>
  </si>
  <si>
    <t>Ⅰ. 유   동    자   산</t>
  </si>
  <si>
    <t xml:space="preserve"> (1) 당   좌    자   산</t>
  </si>
  <si>
    <t xml:space="preserve">I.유동부채 </t>
    <phoneticPr fontId="18" type="noConversion"/>
  </si>
  <si>
    <t xml:space="preserve">(1) 유동부채 </t>
    <phoneticPr fontId="18" type="noConversion"/>
  </si>
  <si>
    <t>II.비유동부채</t>
    <phoneticPr fontId="18" type="noConversion"/>
  </si>
  <si>
    <t xml:space="preserve">(1) 비유동부채 </t>
    <phoneticPr fontId="18" type="noConversion"/>
  </si>
  <si>
    <t>질적판단
근거(note1)</t>
    <phoneticPr fontId="31" type="noConversion"/>
  </si>
  <si>
    <t>(note1)</t>
    <phoneticPr fontId="18" type="noConversion"/>
  </si>
  <si>
    <t>질적기준</t>
    <phoneticPr fontId="31" type="noConversion"/>
  </si>
  <si>
    <t>질적판단
근거(note1)</t>
    <phoneticPr fontId="31" type="noConversion"/>
  </si>
  <si>
    <t>FY2019.03</t>
  </si>
  <si>
    <t>FY2018</t>
  </si>
  <si>
    <t>선급금</t>
  </si>
  <si>
    <t>이익준비금</t>
  </si>
  <si>
    <t>* 주석의 경우 양적기준은 유의한 계정과목(BS/PL)에서 분석이 됨에 따라 질적 유의여부로 판단함.</t>
  </si>
  <si>
    <t>양적
유의여부(*)</t>
    <phoneticPr fontId="31" type="noConversion"/>
  </si>
  <si>
    <t>* 현금흐름표의 경우 간접법형식으로 작성되며, 재무제표 확정이후 일부조정후 산출됨에 따라서 질적 유의여부로 판단함.</t>
    <phoneticPr fontId="18" type="noConversion"/>
  </si>
  <si>
    <t xml:space="preserve">현금흐름표의 경우 간접법형식으로 작성되며, 재무제표 확정이후 일부조정후 산출됨. 따라서 항목별로 추정이나 판단이 개입되지 않음에 따라 질적으로 중요하지 않다고 판단됨. 단, 현금흐름표의 전반적 산출 통제 및 영업현금관련 항목에 대해서는 재무결산 프로세스에서 검토함. </t>
    <phoneticPr fontId="18" type="noConversion"/>
  </si>
  <si>
    <t xml:space="preserve">추정이나 판단의 개입이 적으며 비경상적 거래가 아니므로 질적으로 중요하지 않다고 판단함. </t>
    <phoneticPr fontId="18" type="noConversion"/>
  </si>
  <si>
    <t>나. Benchmark</t>
    <phoneticPr fontId="9" type="noConversion"/>
  </si>
  <si>
    <t>다. 양적중요성 기준 설정</t>
    <phoneticPr fontId="9" type="noConversion"/>
  </si>
  <si>
    <t>GITC Test</t>
    <phoneticPr fontId="8" type="noConversion"/>
  </si>
  <si>
    <t>Yes</t>
  </si>
  <si>
    <t>No</t>
  </si>
  <si>
    <t>N/A</t>
  </si>
  <si>
    <t>3. GITC Scoping</t>
    <phoneticPr fontId="9" type="noConversion"/>
  </si>
  <si>
    <t>통제활동번호</t>
  </si>
  <si>
    <t>■ GITC Scoping 검토 - RoMM에 식별된 IT Element</t>
    <phoneticPr fontId="8" type="noConversion"/>
  </si>
  <si>
    <t>관련 시스템</t>
  </si>
  <si>
    <t>통제활동설명</t>
    <phoneticPr fontId="18" type="noConversion"/>
  </si>
  <si>
    <t>Key Control(Yes/No)</t>
    <phoneticPr fontId="18" type="noConversion"/>
  </si>
  <si>
    <t>Control</t>
    <phoneticPr fontId="18" type="noConversion"/>
  </si>
  <si>
    <t>IUC</t>
    <phoneticPr fontId="18" type="noConversion"/>
  </si>
  <si>
    <t>REF(EX: IUC 1)</t>
    <phoneticPr fontId="18" type="noConversion"/>
  </si>
  <si>
    <t>M</t>
  </si>
  <si>
    <t>Automated 여부
(A(Input,Processing,Output),A(Calculation),A(Application Access)/M)</t>
    <phoneticPr fontId="18" type="noConversion"/>
  </si>
  <si>
    <t>IPE(or IUC) 문서명</t>
    <phoneticPr fontId="18" type="noConversion"/>
  </si>
  <si>
    <t>YES</t>
    <phoneticPr fontId="18" type="noConversion"/>
  </si>
  <si>
    <t>GITC 
대상 여부
(Yes / No/ N/A)</t>
    <phoneticPr fontId="8" type="noConversion"/>
  </si>
  <si>
    <t>GITC 대상이 아닌 것으로 분류한 경우 Rationale(NO 로 기재한 부분 사유 기재)</t>
    <phoneticPr fontId="8" type="noConversion"/>
  </si>
  <si>
    <t>N/A</t>
    <phoneticPr fontId="18" type="noConversion"/>
  </si>
  <si>
    <t>내부회계관리제도 Scoping</t>
    <phoneticPr fontId="9" type="noConversion"/>
  </si>
  <si>
    <t>0. 내부회계관리제도</t>
    <phoneticPr fontId="9" type="noConversion"/>
  </si>
  <si>
    <t>내부회계관리제도는 회사의 재무제표가 일반적으로 인정되는 회계처리기준(이하 “회계처리기준”이라 함)에 따라 작성·공시되었는지에 대한 합리적 확신을 제공하기 위해 설계·운영되는 내부통제제도의 일부분으로서 회사의 경영진과 이사회를 포함한 모든 구성원들에 의해 지속적으로 실행되는 과정을 의미</t>
    <phoneticPr fontId="18" type="noConversion"/>
  </si>
  <si>
    <t>1. Planning &amp; Scoping Table 개관</t>
    <phoneticPr fontId="9" type="noConversion"/>
  </si>
  <si>
    <t>이 문서는 내부회계관리제도의 Planning &amp; Scoping을 위한 목적으로 작성됨</t>
    <phoneticPr fontId="9" type="noConversion"/>
  </si>
  <si>
    <t>2. 내부회계관리제도 평가절차</t>
    <phoneticPr fontId="9" type="noConversion"/>
  </si>
  <si>
    <t>가.</t>
  </si>
  <si>
    <t>유의한 계정과목 및 주석정보의 파악</t>
    <phoneticPr fontId="9" type="noConversion"/>
  </si>
  <si>
    <t>① 양적 중요성 기준의 결정</t>
  </si>
  <si>
    <t>1. 중요성 기준</t>
    <phoneticPr fontId="9" type="noConversion"/>
  </si>
  <si>
    <t>② 질적 중요성의 고려 &amp; ③ 유의한 계정과목 및 주석정보의 파악</t>
    <phoneticPr fontId="9" type="noConversion"/>
  </si>
  <si>
    <t>2.1 유의한 계정과목 (BS)</t>
    <phoneticPr fontId="9" type="noConversion"/>
  </si>
  <si>
    <t>2.2 유의한 계정과목 (PL)</t>
    <phoneticPr fontId="9" type="noConversion"/>
  </si>
  <si>
    <t>2.3 유의한 주석</t>
    <phoneticPr fontId="9" type="noConversion"/>
  </si>
  <si>
    <t>2.4 유의한 영업현금 관련항목</t>
    <phoneticPr fontId="9" type="noConversion"/>
  </si>
  <si>
    <t>다.</t>
  </si>
  <si>
    <t>유의한 업무프로세스 파악 및 유의적 계정과목과 연계</t>
    <phoneticPr fontId="9" type="noConversion"/>
  </si>
  <si>
    <t>① 유의한 계정과목과 업무프로세스의 연계</t>
    <phoneticPr fontId="9" type="noConversion"/>
  </si>
  <si>
    <t>라.</t>
    <phoneticPr fontId="18" type="noConversion"/>
  </si>
  <si>
    <t>GITC Scoping 검토 - Risk로 부터 식별된 IT Element</t>
    <phoneticPr fontId="9" type="noConversion"/>
  </si>
  <si>
    <t>유의한 업무 프로세스 정리</t>
    <phoneticPr fontId="9" type="noConversion"/>
  </si>
  <si>
    <t>[내부회계관리제도 평가 및 보고 실무사례 44~46]</t>
    <phoneticPr fontId="18" type="noConversion"/>
  </si>
  <si>
    <t>유의한 업무프로세스의 파악</t>
    <phoneticPr fontId="18" type="noConversion"/>
  </si>
  <si>
    <t>업무프로세스는 자료 입력, 분류 및 합산, 계산, 거래 업데이트, 파일관리, 거래 생성, 취합 및 보고 등의 일련의 업무과정을 포함하며, 시스템에서 수행되는 마스터파일의 생성, 갱신 등의 활동을 포함한다.</t>
    <phoneticPr fontId="18" type="noConversion"/>
  </si>
  <si>
    <t xml:space="preserve">신뢰할 수 있는 재무제표의 작성 및 공시를 위해서는 재무제표 작성 및 보고절차 뿐만 아니라 장부 상에 기록된 개별 거래들이 발생, 승인, 기록 및 처리되는 전체 과정이 중요하기 때문에 경영진은 내부회계관리제도의 </t>
    <phoneticPr fontId="18" type="noConversion"/>
  </si>
  <si>
    <t xml:space="preserve">평가 시 회계나 경리 부서 뿐만 아니라 회계처리의 기초가 되는 정보와 관련된 회사의 유의한 업무프로세스를 고려한다. </t>
    <phoneticPr fontId="18" type="noConversion"/>
  </si>
  <si>
    <t xml:space="preserve">유의한 계정과목 및 주석정보, 그리고 이와 관련된 경영자 주장을 파악한 후 경영진은 해당 계정과목 및 주석정보에 영향을 미치는 주요 거래 유형별 유의한 업무프로세스를 파악한다. </t>
    <phoneticPr fontId="18" type="noConversion"/>
  </si>
  <si>
    <t xml:space="preserve">유의한 업무프로세스 및 그 프로세스 내에서 수행되는 일련의 활동인 하위프로세스는 영위하는 사업의 내용이나 환경 등에 따라 회사마다 다를 수 있다. </t>
    <phoneticPr fontId="18" type="noConversion"/>
  </si>
  <si>
    <t xml:space="preserve">예를 들어, 연구개발비 계정과 관련된 업무프로세스는 제조업(특히 첨단산업)의 경우에는 중요할 수 있으나 금융업을 영위하는 회사에서는 상대적으로 중요하지 않을 수도 있다. </t>
    <phoneticPr fontId="18" type="noConversion"/>
  </si>
  <si>
    <t xml:space="preserve">기말재무제표 작성절차는 내부회계관리제도에서 차지하는 중요성으로 인해 항상 유의한 업무프로세스로 식별되어야 한다. </t>
  </si>
  <si>
    <t>업무 프로세스</t>
    <phoneticPr fontId="9" type="noConversion"/>
  </si>
  <si>
    <t>하위 프로세스</t>
    <phoneticPr fontId="9" type="noConversion"/>
  </si>
  <si>
    <t>감가상각누계액_건물</t>
  </si>
  <si>
    <t>II.이익잉여금</t>
    <phoneticPr fontId="18" type="noConversion"/>
  </si>
  <si>
    <t>(단위: 원)</t>
    <phoneticPr fontId="18" type="noConversion"/>
  </si>
  <si>
    <t>원</t>
    <phoneticPr fontId="18" type="noConversion"/>
  </si>
  <si>
    <t>현금및현금성자산</t>
    <phoneticPr fontId="18" type="noConversion"/>
  </si>
  <si>
    <t>미수금</t>
    <phoneticPr fontId="18" type="noConversion"/>
  </si>
  <si>
    <t>미지급금</t>
    <phoneticPr fontId="18" type="noConversion"/>
  </si>
  <si>
    <t xml:space="preserve">              세전이익의 경우 내부회계관리제도모범규준에서 중요성 금액 산정시 일반적으로 권고하는 benchmark에 해당함. </t>
    <phoneticPr fontId="23" type="noConversion"/>
  </si>
  <si>
    <t xml:space="preserve">일반사항은 설립일 및 주주의 내역으로 유의적인 변동이 없으며, 재무제표에 미치는 영향이 중요하지 않을 것으로 판단하여 질적으로 유의적이지 않을 것으로 판단함. </t>
    <phoneticPr fontId="18" type="noConversion"/>
  </si>
  <si>
    <t>I. 영업활동으로 인한 현금흐름</t>
  </si>
  <si>
    <t>II. 투자활동으로 인한 현금흐름</t>
  </si>
  <si>
    <t>III. 재무활동으로 인한 현금흐름</t>
  </si>
  <si>
    <t>V. 기초의 현금</t>
  </si>
  <si>
    <t>FY2022</t>
    <phoneticPr fontId="18" type="noConversion"/>
  </si>
  <si>
    <t>FY2021</t>
    <phoneticPr fontId="18" type="noConversion"/>
  </si>
  <si>
    <t>양적
유의여부(2022)</t>
    <phoneticPr fontId="31" type="noConversion"/>
  </si>
  <si>
    <t>미수수익</t>
    <phoneticPr fontId="18" type="noConversion"/>
  </si>
  <si>
    <t>계약자산</t>
    <phoneticPr fontId="18" type="noConversion"/>
  </si>
  <si>
    <t>당기법인세자산</t>
    <phoneticPr fontId="18" type="noConversion"/>
  </si>
  <si>
    <t>비품</t>
    <phoneticPr fontId="18" type="noConversion"/>
  </si>
  <si>
    <t>감가상각누계액_비품</t>
    <phoneticPr fontId="18" type="noConversion"/>
  </si>
  <si>
    <t>회원권</t>
    <phoneticPr fontId="18" type="noConversion"/>
  </si>
  <si>
    <t>선수수익</t>
    <phoneticPr fontId="18" type="noConversion"/>
  </si>
  <si>
    <t>예수금</t>
    <phoneticPr fontId="18" type="noConversion"/>
  </si>
  <si>
    <t>임대보증금</t>
    <phoneticPr fontId="18" type="noConversion"/>
  </si>
  <si>
    <t>미지급비용</t>
    <phoneticPr fontId="18" type="noConversion"/>
  </si>
  <si>
    <t>당기법인세부채</t>
    <phoneticPr fontId="18" type="noConversion"/>
  </si>
  <si>
    <t>리스부채(비유동)</t>
    <phoneticPr fontId="18" type="noConversion"/>
  </si>
  <si>
    <t>II.자본잉여금</t>
    <phoneticPr fontId="18" type="noConversion"/>
  </si>
  <si>
    <t>III.자본조정</t>
    <phoneticPr fontId="18" type="noConversion"/>
  </si>
  <si>
    <t>자기주식</t>
    <phoneticPr fontId="18" type="noConversion"/>
  </si>
  <si>
    <t>IV.기타포괄손익누계액</t>
    <phoneticPr fontId="18" type="noConversion"/>
  </si>
  <si>
    <t>1. 당사의 개요</t>
    <phoneticPr fontId="18" type="noConversion"/>
  </si>
  <si>
    <t>2. 재무제표작성기준 및 유의적인 회계정책</t>
    <phoneticPr fontId="18" type="noConversion"/>
  </si>
  <si>
    <t>3. 중요한 판단과 추정불확실성의 주요 원천</t>
    <phoneticPr fontId="18" type="noConversion"/>
  </si>
  <si>
    <t>38. 현금흐름표</t>
    <phoneticPr fontId="18" type="noConversion"/>
  </si>
  <si>
    <t>1. 영업활동에서 창출된 현금흐름</t>
  </si>
  <si>
    <t> (1) 당기순이익</t>
  </si>
  <si>
    <t> (2) 조정</t>
  </si>
  <si>
    <t> (3) 운전자본 변동</t>
  </si>
  <si>
    <t> 2. 이자의 수취</t>
  </si>
  <si>
    <t> 3. 이자의 지급</t>
  </si>
  <si>
    <t> 4. 배당금의 수취</t>
  </si>
  <si>
    <t> 5. 법인세의 환급(납부)</t>
  </si>
  <si>
    <t>IV.현금의 증가(감소)(I+II+III)</t>
  </si>
  <si>
    <t>VI. 외화표시 현금및현금성자산의 환율변동 효과</t>
  </si>
  <si>
    <t>VII. 기말의 현금</t>
    <phoneticPr fontId="18" type="noConversion"/>
  </si>
  <si>
    <t>설정근거 : 평가기간의 세전이익로 선정하는 이유는 다음과 같음.</t>
    <phoneticPr fontId="23" type="noConversion"/>
  </si>
  <si>
    <t xml:space="preserve">              회사의 주요영업이 해외 자회사를 통해 발생하고 있으며, 자회사의 성과가 배당금수익을 통해 실현되고 있다는 점 및 이러한 점에서 회사의 규모대비 매출액이 적다는 점에서 세전이익을 근거로 중요성을 설정함. </t>
    <phoneticPr fontId="23" type="noConversion"/>
  </si>
  <si>
    <t>질적중요성은 낮으나 추정에 근거한 평가가 수반되는 항목임에 따라 대상으로 설정함</t>
    <phoneticPr fontId="18" type="noConversion"/>
  </si>
  <si>
    <t>N</t>
    <phoneticPr fontId="18" type="noConversion"/>
  </si>
  <si>
    <t>실질적 변경가능성이 없는 항목임에 따라 제외함</t>
    <phoneticPr fontId="18" type="noConversion"/>
  </si>
  <si>
    <t>유의적인 오류 등의 발생가능성이 없는 항목임에 따라 제외함</t>
    <phoneticPr fontId="18" type="noConversion"/>
  </si>
  <si>
    <t>자금관리</t>
    <phoneticPr fontId="18" type="noConversion"/>
  </si>
  <si>
    <t xml:space="preserve">추정이나 판단의 개입이 적으며 질적으로 중요하지 않다고 판단함. </t>
    <phoneticPr fontId="18" type="noConversion"/>
  </si>
  <si>
    <t xml:space="preserve">투자 및 재무활동이 제한되어 회계정책의 변경 및 신규기준서 등의 개정으로 인한 영향 등을 크게 받지 않아 질적으로 유의적이지 않을 것으로 판단함. </t>
    <phoneticPr fontId="18" type="noConversion"/>
  </si>
  <si>
    <t xml:space="preserve">별도재무제표상 부문에 대한 정보를 별도로 공시하고 있지 않음에 따라 질적으로 유의적이지 않을 것으로 판단함. </t>
    <phoneticPr fontId="18" type="noConversion"/>
  </si>
  <si>
    <t xml:space="preserve">해당 계정과목에 대한 집계사항으로 추정이나 판단이 개입되지 않으며, 회계처리등의 복잡성도 낮음에 따라 질적으로 유의적이지 않을 것으로 판단함. </t>
    <phoneticPr fontId="18" type="noConversion"/>
  </si>
  <si>
    <t>법인세주석의 경우 이연법인세계산내역, 세무조정내역을 검토하여 이연법인세인식대상 일시적차이, 법인세와 손익과의 관계 등 추가적으로 기재하여아 할 사항이 존재함에 따라 질적으로 유의적인 것으로 판단함</t>
    <phoneticPr fontId="18" type="noConversion"/>
  </si>
  <si>
    <t xml:space="preserve">금융상품관련 주석의 경우 누락의 발생가능성, 집계오류가 발생할 가능성, 회사가 채택하고 있는 회계정책과 관련한 기재오류의 발생가능성이 높음에 따라 유의적인 것으로 판단함. </t>
    <phoneticPr fontId="18" type="noConversion"/>
  </si>
  <si>
    <t>전결권자는 차입계약서 및 차입금 발행금액, 이자율, 만기일, 평가 등의 내역을 확인후 이자비용 전표를 승인한다.</t>
  </si>
  <si>
    <t xml:space="preserve">전결권자는 금융상품 관련 주석공시사항을 금융상품약정서 및 장부금액 등과 대사하여 적절한지 확인하고 승인한다. </t>
  </si>
  <si>
    <t xml:space="preserve">전결권자는 법인세 및 이연법인세 관련 주석공시사항을 세무조정내역, 이연법인세산출내역 및 장부금액 등과 대사하여 적절한지 확인하고 승인한다. </t>
  </si>
  <si>
    <t>재경팀 담당자는 현금흐름표 및 관련 주석을 작성하고, 전결권자는 작성 내역의 적정성을 검토 및 승인한다.</t>
  </si>
  <si>
    <t>재경팀 담당자는 금융기관으로부터 여신현황, 법무팀의 소송사건 내역을 확인하여 우발부채 및 약정사항을 작성한다.</t>
  </si>
  <si>
    <t>이사회 및 경영진이 추구하는 윤리경영에 대한 준수사항은 회사의 규정 및 정책에 명문화 되어 있다.</t>
  </si>
  <si>
    <t>이사회 및 경영진은 도덕성과 윤리적 가치를 다양한 형태로 모든 임직원을 포함한 외부 이해관계자에게 지속적으로 강조하고 있다.</t>
  </si>
  <si>
    <t>임직원 및 외부 이해관계자의 윤리규범 준수를 위해 윤리경영 준수에 대한 평가가 실시되고 있다.</t>
  </si>
  <si>
    <t xml:space="preserve">윤리 위반사항의 식별, 조사, 보고 및 조치결과(대응방안)의 공표 등 일관된 절차에 의해 업무가 처리되도록 문서화하고 운영한다.  
</t>
  </si>
  <si>
    <t>내부회계관리제도와 관련한 이사회 및 감사의 역할과 책임을 명확히 정의하고 적격성과 독립성을 주기적으로 검토한다.</t>
  </si>
  <si>
    <t>감사의 선임 기준을 명확히 하고 주기적으로 평가하여 감사의 기능이 효과적으로 운영된다.</t>
  </si>
  <si>
    <t>이사회 및 감사에 의해 재무보고 및 내부회계관리제도 활동이 감독된다.</t>
  </si>
  <si>
    <t>내부회계관리 전담조직의 역할·책임이 명확하게 정의되어 내부회계관리제도가 효과적으로 운영되고 있다.</t>
  </si>
  <si>
    <t>위임전결 규정 등을 통해 내부회계관리제도 운영을 위한 권한 및 책임을 명확하게 정의한다.</t>
  </si>
  <si>
    <t>내부회계관리제도를 운영하는 주요 임직원의 적격성 기준을 정의한다.</t>
  </si>
  <si>
    <t>적격성 기준에 부합한 임직원에 의해 내부회계관리제도가 설계 및 운영되는지 평가된다.</t>
  </si>
  <si>
    <t>내부회계관리제도와 관련한 주요 조직 및 인력의 적격성 유지를 위해 정기 혹은 비정기적으로 교육프로그램이 계획되고 운영된다.</t>
  </si>
  <si>
    <t xml:space="preserve">내부회계관리제도 책임 이행과 연계하여 임직원의 성과평가에 반영하고 성과평가의 측정지표는 주기적으로 검토된다. </t>
  </si>
  <si>
    <t>회계기준과 관련 규제사항에 따라 재무정보를 작성하여 신뢰성을 확보하고 중요한 왜곡표시가 발생하지 않도록 주요 계정과 공시사항에 대한 명확한 목적을 제시한다</t>
  </si>
  <si>
    <t>적합한 회계기준에 의해 회사의 거래가 회계처리되며 재무보고요소를 고려한 위험평가가 수행된다.</t>
  </si>
  <si>
    <t>범위선정문서'를 통한 위험의 식별·분석·평가하고 대응방안을 수립하여 내부회계관리자와 감사에게 보고한다.</t>
  </si>
  <si>
    <t>다양한 요인에 따른 부정 위험의 식별, 분석 및 평가하는 절차를 수립하고 규정에 따라 주기적으로 검토한다.</t>
  </si>
  <si>
    <t xml:space="preserve">내부회계관리제도에 중요한 영향을 미칠수 있는 변화를 식별·분석하는 변화관리체계를 수립하고 절차에 따라 수행하여 내부회계관리제도를 유효하게 유지·관리한다.
</t>
  </si>
  <si>
    <t>식별된 위험을 수용가능한 수준으로 감소시키기 위한 절차를 문서화하고 위험에 대응하는 통제활동을 설계한다.</t>
  </si>
  <si>
    <t>재무정보의 작성 및 공시에 중요한 영향을 미치는 외부서비스조직을 식별 및 평가하고 중요한 왜곡표시를 방지하기 위한 통제활동을 수립한다.</t>
  </si>
  <si>
    <t>업무분장 및 접근제한 기준을 수립하고 주기적으로 재검토하여 재무보고에 오류가 발생할 위험을 방지한다.</t>
  </si>
  <si>
    <t>재무정보의 작성 및 공시를 지원하는 IT를 식별하고 재무보고와 관련된 정보기술 일반통제 절차가 문서화되고 이에 따라 운영한다.</t>
  </si>
  <si>
    <t>재무정보의 작성 및 공시와 관련된 최종사용자컴퓨팅을 식별하고 중요도를 평가하는 절차를 문서화하고 기준에 따라 통제절차를 설계 및 운영한다.</t>
  </si>
  <si>
    <t>재무정보의 작성 및 공시 프로세스를 지원하는 IT정보시스템은 업무분장 및 접근제한 정책에 따라 설계와 운영되고 주기적으로 검토된다.</t>
  </si>
  <si>
    <t>재무보고 및 내부통제 과정의 중요한 통제활동과 관련한 정책과 절차를 문서화하고 변화관리체계에 따라 모니터링한다.</t>
  </si>
  <si>
    <t>내부회계관리제도의 설계 및 운영에 중요한 영향을 미치는 재무 및 비재무부문의 정보를 식별하고 관리한다.</t>
  </si>
  <si>
    <t>내부회계관리제도와 관련한 내부구성원간의 의사소통 절차를 수립하고 운영한다.</t>
  </si>
  <si>
    <t>비윤리적 행위와 내부회계관리제도의 우회 등 위반 사항을 식별 및 적발 할 수 있는 절차를 수립하고 운영·감독한다.</t>
  </si>
  <si>
    <t>외부감사인이 재무제표 감사 및 내부회계관리제도의 효과성 평가 과정에서 확인한 유의 사항을 확인하고 해결방안을 논의한다.</t>
  </si>
  <si>
    <t>외부와의 의사소통이 가능한 내부고발제도와 같은 별도의 의사소통 채널이 갖추어져 있다.</t>
  </si>
  <si>
    <t>변화의 정도를 고려하고 상시적인 모니터링과 독립적인 평가 방안을 수립하여 내부회계관리제도 평가 계획을 수립한다.</t>
  </si>
  <si>
    <t>상시적인 모니터링과 독립적인 평가를 수행하는 평가자들은 평가대상에 대한 충분한 지식을 보유하고 있다</t>
  </si>
  <si>
    <t>내부회계관리제도의 목적 달성을 위해 상시적인 모니터링를 수행하고 있다.</t>
  </si>
  <si>
    <t>위험의 중요성에 따라 범위와 빈도를 고려하여 내부회계관리제도에 대한 독립적인 평가가 수행되고 있다.</t>
  </si>
  <si>
    <t>외부서비스제공자의 변경 사항이 회사의 내부회계관리제도에 미치는 영향을 재평가한다</t>
  </si>
  <si>
    <t>내부회계관리제도의 설계 및 운영 평가 결과 식별된 미비점을 적시에 개선할 수 있는 절차를 마련하고 개선사항에 대해 모니터링한다.</t>
  </si>
  <si>
    <t>이사회 및 감사는 내부회계 운영실태를 평가하고 개선계획을 검토하여 보고한다.</t>
  </si>
  <si>
    <t>복리후생비</t>
  </si>
  <si>
    <t>통제환경</t>
  </si>
  <si>
    <t>위험평가</t>
  </si>
  <si>
    <t>통제활동</t>
  </si>
  <si>
    <t>정보및의사소통</t>
  </si>
  <si>
    <t>모니터링</t>
  </si>
  <si>
    <t>주식회사 사이냅소프트</t>
    <phoneticPr fontId="18" type="noConversion"/>
  </si>
  <si>
    <t>IFRS변환 후 재무제표</t>
    <phoneticPr fontId="23" type="noConversion"/>
  </si>
  <si>
    <t>유의적인 비경상 거래 등 미발생</t>
    <phoneticPr fontId="23" type="noConversion"/>
  </si>
  <si>
    <t>대손충당금(매출채권)</t>
    <phoneticPr fontId="18" type="noConversion"/>
  </si>
  <si>
    <t>단기매매증권(FVPL)</t>
  </si>
  <si>
    <t>매도가능증권(FVOCI)</t>
  </si>
  <si>
    <t>단기대여금</t>
    <phoneticPr fontId="18" type="noConversion"/>
  </si>
  <si>
    <t>차량운반구</t>
    <phoneticPr fontId="18" type="noConversion"/>
  </si>
  <si>
    <t>감가상각누계액_차량운반구</t>
    <phoneticPr fontId="18" type="noConversion"/>
  </si>
  <si>
    <t>정부보조금_비품</t>
    <phoneticPr fontId="18" type="noConversion"/>
  </si>
  <si>
    <t>시설장치</t>
    <phoneticPr fontId="18" type="noConversion"/>
  </si>
  <si>
    <t>감가상각누계액_시설장치</t>
    <phoneticPr fontId="18" type="noConversion"/>
  </si>
  <si>
    <r>
      <rPr>
        <b/>
        <sz val="9"/>
        <color theme="1"/>
        <rFont val="나눔고딕"/>
        <family val="1"/>
        <charset val="129"/>
      </rPr>
      <t>Ⅰ</t>
    </r>
    <r>
      <rPr>
        <b/>
        <sz val="9"/>
        <color theme="1"/>
        <rFont val="나눔고딕"/>
        <family val="3"/>
        <charset val="129"/>
      </rPr>
      <t>. 비   유   동    자   산</t>
    </r>
    <phoneticPr fontId="18" type="noConversion"/>
  </si>
  <si>
    <t>감가상각누계액</t>
  </si>
  <si>
    <t>투자부동산_토지</t>
    <phoneticPr fontId="18" type="noConversion"/>
  </si>
  <si>
    <t>투자부동산_건물</t>
    <phoneticPr fontId="18" type="noConversion"/>
  </si>
  <si>
    <t>감가상각누계액</t>
    <phoneticPr fontId="18" type="noConversion"/>
  </si>
  <si>
    <t>특허권</t>
  </si>
  <si>
    <t>정부보조금</t>
  </si>
  <si>
    <t>상표권</t>
  </si>
  <si>
    <t>소프트웨어</t>
  </si>
  <si>
    <t>사용권자산_차량</t>
  </si>
  <si>
    <t xml:space="preserve"> (1) 투자자산</t>
    <phoneticPr fontId="18" type="noConversion"/>
  </si>
  <si>
    <t>단기매매증권_비유동(FVPL)</t>
  </si>
  <si>
    <t>매도가능증권_비유동(FVOCI)</t>
  </si>
  <si>
    <t xml:space="preserve"> (2) 투자부동산</t>
    <phoneticPr fontId="18" type="noConversion"/>
  </si>
  <si>
    <t xml:space="preserve"> (3) 유   형    자   산</t>
    <phoneticPr fontId="18" type="noConversion"/>
  </si>
  <si>
    <t xml:space="preserve"> (4) 무   형    자   산</t>
    <phoneticPr fontId="18" type="noConversion"/>
  </si>
  <si>
    <t xml:space="preserve"> (5) 사용권자산</t>
    <phoneticPr fontId="18" type="noConversion"/>
  </si>
  <si>
    <t xml:space="preserve"> (6) 기 타 비유동자산</t>
    <phoneticPr fontId="18" type="noConversion"/>
  </si>
  <si>
    <t>부가세예수금</t>
    <phoneticPr fontId="18" type="noConversion"/>
  </si>
  <si>
    <t>유동성장기부채</t>
    <phoneticPr fontId="18" type="noConversion"/>
  </si>
  <si>
    <t>리스부채</t>
    <phoneticPr fontId="18" type="noConversion"/>
  </si>
  <si>
    <t>장기차입금</t>
    <phoneticPr fontId="18" type="noConversion"/>
  </si>
  <si>
    <t>장기근속급여</t>
    <phoneticPr fontId="18" type="noConversion"/>
  </si>
  <si>
    <t>장기선수수익</t>
    <phoneticPr fontId="18" type="noConversion"/>
  </si>
  <si>
    <t>주식발행초과금</t>
  </si>
  <si>
    <t>자기주식처분이익</t>
  </si>
  <si>
    <t>기타자본잉여금</t>
  </si>
  <si>
    <t>매도가능증권평가이익</t>
  </si>
  <si>
    <t>매도가능증권평가손실</t>
  </si>
  <si>
    <t>수입수수료</t>
  </si>
  <si>
    <t>수출</t>
  </si>
  <si>
    <t>수입임대료</t>
  </si>
  <si>
    <t>II. 영업비용</t>
    <phoneticPr fontId="18" type="noConversion"/>
  </si>
  <si>
    <r>
      <rPr>
        <b/>
        <sz val="9"/>
        <color theme="1"/>
        <rFont val="나눔고딕"/>
        <family val="1"/>
        <charset val="129"/>
      </rPr>
      <t>Ⅰ</t>
    </r>
    <r>
      <rPr>
        <b/>
        <sz val="9"/>
        <color theme="1"/>
        <rFont val="나눔고딕"/>
        <family val="3"/>
        <charset val="129"/>
      </rPr>
      <t>.영업수익</t>
    </r>
    <phoneticPr fontId="18" type="noConversion"/>
  </si>
  <si>
    <t>III.영업이익</t>
    <phoneticPr fontId="18" type="noConversion"/>
  </si>
  <si>
    <t>IV. 영업외수익</t>
    <phoneticPr fontId="18" type="noConversion"/>
  </si>
  <si>
    <t xml:space="preserve">V. 영업외비용 </t>
    <phoneticPr fontId="18" type="noConversion"/>
  </si>
  <si>
    <t>VI.법인세차감전순이익</t>
    <phoneticPr fontId="18" type="noConversion"/>
  </si>
  <si>
    <t>VII.법인세비용</t>
    <phoneticPr fontId="18" type="noConversion"/>
  </si>
  <si>
    <t>VIII.당기순이익</t>
    <phoneticPr fontId="18" type="noConversion"/>
  </si>
  <si>
    <t>급여</t>
  </si>
  <si>
    <t>기타장기종업원급여</t>
  </si>
  <si>
    <t>퇴직급여</t>
  </si>
  <si>
    <t>인력개발비</t>
  </si>
  <si>
    <t>여비교통비</t>
  </si>
  <si>
    <t>접대비</t>
  </si>
  <si>
    <t>통신비</t>
  </si>
  <si>
    <t>수도광열비</t>
  </si>
  <si>
    <t>전력비</t>
  </si>
  <si>
    <t>건물관리비</t>
  </si>
  <si>
    <t>세금과공과금</t>
  </si>
  <si>
    <t>감가상각비</t>
  </si>
  <si>
    <t>사용권자산감가상각비</t>
  </si>
  <si>
    <t>무형고정자산상각</t>
  </si>
  <si>
    <t>보험료</t>
  </si>
  <si>
    <t>차량유지비</t>
  </si>
  <si>
    <t>경상연구개발비</t>
  </si>
  <si>
    <t>운반비</t>
  </si>
  <si>
    <t>교육훈련비</t>
  </si>
  <si>
    <t>도서인쇄비</t>
  </si>
  <si>
    <t>소모품비</t>
  </si>
  <si>
    <t>지급수수료</t>
  </si>
  <si>
    <t>광고선전비</t>
  </si>
  <si>
    <t>판매수수료</t>
  </si>
  <si>
    <t>대손상각비</t>
  </si>
  <si>
    <t>이자수익</t>
  </si>
  <si>
    <t>배당금수익</t>
  </si>
  <si>
    <t>당기손익공정가치측정금융자산처분이익</t>
  </si>
  <si>
    <t>당기손익공정가치측정금융자산평가이익</t>
  </si>
  <si>
    <t>외환차익</t>
  </si>
  <si>
    <t>외화환산이익</t>
  </si>
  <si>
    <t>사채상환이익</t>
  </si>
  <si>
    <t>국고보조금</t>
  </si>
  <si>
    <t>잡이익</t>
  </si>
  <si>
    <t>이자비용</t>
  </si>
  <si>
    <t>외환차손</t>
  </si>
  <si>
    <t>외화환산손실</t>
  </si>
  <si>
    <t>기타포괄손익공정가치측정금융자산처분손실</t>
  </si>
  <si>
    <t>당기손익공정가치측정금융자산평가손실</t>
  </si>
  <si>
    <t>잡손실</t>
  </si>
  <si>
    <t>추정이나 판단의 개입이 존재할 수 있는 항목으로 질적으로 중요하다고 판단함.</t>
    <phoneticPr fontId="18" type="noConversion"/>
  </si>
  <si>
    <t>매출관리</t>
    <phoneticPr fontId="18" type="noConversion"/>
  </si>
  <si>
    <t>경비관리</t>
    <phoneticPr fontId="18" type="noConversion"/>
  </si>
  <si>
    <t>자금관리</t>
  </si>
  <si>
    <t>재무결산및보고</t>
    <phoneticPr fontId="18" type="noConversion"/>
  </si>
  <si>
    <t>급여및인사관리</t>
    <phoneticPr fontId="18" type="noConversion"/>
  </si>
  <si>
    <t>고정자산관리</t>
    <phoneticPr fontId="18" type="noConversion"/>
  </si>
  <si>
    <t>매출과 관련한 항목임에 따라 대상으로 설정함</t>
    <phoneticPr fontId="18" type="noConversion"/>
  </si>
  <si>
    <t xml:space="preserve">양적 중요성은 낮으나 평가 및 결산과 관련되는 항목임에 따라 대상으로 선정함 </t>
    <phoneticPr fontId="18" type="noConversion"/>
  </si>
  <si>
    <t>양적중요성은 낮으나 추정에 근거한 평가가 수반되는 항목임에 따라 대상으로 설정함</t>
    <phoneticPr fontId="18" type="noConversion"/>
  </si>
  <si>
    <t>무형자산의 경우 고정자산 잔액 및 변동 내역내역을 공시하고 있음. 다만 중요성이 낮은 항목에 해당함에 따라 제외함</t>
    <phoneticPr fontId="18" type="noConversion"/>
  </si>
  <si>
    <t>대손상각비(충당금환입)</t>
  </si>
  <si>
    <t>사용권자산상각비</t>
  </si>
  <si>
    <t>장기종업원급여</t>
  </si>
  <si>
    <t>매출채권및기타채권</t>
  </si>
  <si>
    <t>계약자산</t>
  </si>
  <si>
    <t>기타유동자산</t>
  </si>
  <si>
    <t>매입채무및기타채무</t>
  </si>
  <si>
    <t>계약부채</t>
  </si>
  <si>
    <t>기타유동부채</t>
  </si>
  <si>
    <t>충당부채</t>
  </si>
  <si>
    <t>단기금융상품의 감소</t>
  </si>
  <si>
    <t>대여금의 감소</t>
  </si>
  <si>
    <t>당기손익공정가치측정금융자산처분</t>
  </si>
  <si>
    <t>기타포괄손익공정가치측정금융자산처분</t>
  </si>
  <si>
    <t>단기금융상품의 증가</t>
  </si>
  <si>
    <t>대여금의 증가</t>
  </si>
  <si>
    <t>당기손익공정가치측정금융자산취득</t>
  </si>
  <si>
    <t>기타포괄손익공정가치측정금융자산취득</t>
  </si>
  <si>
    <t>토지의 취득</t>
  </si>
  <si>
    <t>건물의 취득</t>
  </si>
  <si>
    <t>비품의 취득</t>
  </si>
  <si>
    <t>시설장치의 취득</t>
  </si>
  <si>
    <t>건설중인자산의 취득</t>
  </si>
  <si>
    <t>상표권의 취득</t>
  </si>
  <si>
    <t>장기차입금의 차입</t>
  </si>
  <si>
    <t>임대보증금의 증가</t>
  </si>
  <si>
    <t>자기주식의 처분</t>
  </si>
  <si>
    <t>유동성장기부채의 상환</t>
  </si>
  <si>
    <t>리스부채의 상환</t>
  </si>
  <si>
    <t>전환사채의 상환</t>
  </si>
  <si>
    <t>배당금의 지급</t>
  </si>
  <si>
    <t>4. 영업부문</t>
  </si>
  <si>
    <t>5. 현금및현금성자산</t>
  </si>
  <si>
    <t>6. 단기금융상품 </t>
  </si>
  <si>
    <t>7. 매출채권및기타채권</t>
  </si>
  <si>
    <t>8. 당기손익공정가치측정금융자산</t>
  </si>
  <si>
    <t>9. 기타포괄손익공정가치측정금융자산</t>
  </si>
  <si>
    <t>10. 기타유동자산</t>
  </si>
  <si>
    <t>11. 유형자산 </t>
  </si>
  <si>
    <t>12. 투자부동산</t>
  </si>
  <si>
    <t>13. 사용권자산</t>
  </si>
  <si>
    <t>14. 무형자산</t>
  </si>
  <si>
    <t>15. 매입채무및기타채무</t>
  </si>
  <si>
    <t>16. 차입금 등</t>
  </si>
  <si>
    <t>17. 리스</t>
  </si>
  <si>
    <t>18. 기타유동부채</t>
  </si>
  <si>
    <t>19. 충당부채</t>
  </si>
  <si>
    <t>20. 계약자산 및 계약부채</t>
  </si>
  <si>
    <t>21. 자본금</t>
  </si>
  <si>
    <t>22. 기타불입자본</t>
  </si>
  <si>
    <t>23. 기타자본구성요소</t>
  </si>
  <si>
    <t>24. 이익잉여금</t>
  </si>
  <si>
    <t>25. 수익</t>
  </si>
  <si>
    <t>26. 판매비및관리비</t>
  </si>
  <si>
    <t>27. 금융이익 및 금융원가</t>
  </si>
  <si>
    <t>28. 기타영업외수익 및 기타영업외비용</t>
  </si>
  <si>
    <t>29. 법인세</t>
  </si>
  <si>
    <t>30. 비용의 성격별 분류</t>
  </si>
  <si>
    <t>31. 종업원급여</t>
  </si>
  <si>
    <t>32. 주당이익</t>
  </si>
  <si>
    <t>33. 주식기준보상</t>
  </si>
  <si>
    <t>34. 금융위험 관리</t>
  </si>
  <si>
    <t>35. 특수관계자와의 거래 </t>
  </si>
  <si>
    <t>36. 담보제공자산</t>
  </si>
  <si>
    <t>37. 우발채무 및 약정사항</t>
  </si>
  <si>
    <t>IT</t>
  </si>
  <si>
    <t>전사</t>
  </si>
  <si>
    <t xml:space="preserve">주요한 결산항목으로 오류발생가능성이 존재함에 따라 질적으로 중요하다고 판단함. </t>
    <phoneticPr fontId="18" type="noConversion"/>
  </si>
  <si>
    <t>EL-010-10-10</t>
  </si>
  <si>
    <t>EL-010-20-10</t>
  </si>
  <si>
    <t>EL-010-30-10</t>
  </si>
  <si>
    <t>EL-010-40-10</t>
  </si>
  <si>
    <t>EL-010-50-10</t>
  </si>
  <si>
    <t>EL-010-60-10</t>
  </si>
  <si>
    <t>EL-010-70-10</t>
  </si>
  <si>
    <t>EL-010-80-10</t>
  </si>
  <si>
    <t>EL-010-90-10</t>
  </si>
  <si>
    <t>EL-010-100-10</t>
  </si>
  <si>
    <t>EL-010-110-10</t>
  </si>
  <si>
    <t>EL-010-120-10</t>
  </si>
  <si>
    <t>EL-010-130-10</t>
  </si>
  <si>
    <t>EL-020-10-10</t>
  </si>
  <si>
    <t>EL-020-20-10</t>
  </si>
  <si>
    <t>EL-020-30-10</t>
  </si>
  <si>
    <t>EL-020-40-10</t>
  </si>
  <si>
    <t>EL-020-50-10</t>
  </si>
  <si>
    <t>EL-030-10-10</t>
  </si>
  <si>
    <t>EL-030-20-10</t>
  </si>
  <si>
    <t>EL-030-30-10</t>
  </si>
  <si>
    <t>EL-030-40-10</t>
  </si>
  <si>
    <t>EL-030-50-10</t>
  </si>
  <si>
    <t>EL-030-60-10</t>
  </si>
  <si>
    <t>EL-030-70-10</t>
  </si>
  <si>
    <t>EL-040-10-10</t>
  </si>
  <si>
    <t>EL-040-20-10</t>
  </si>
  <si>
    <t>EL-040-30-10</t>
  </si>
  <si>
    <t>EL-040-40-10</t>
  </si>
  <si>
    <t>EL-040-50-10</t>
  </si>
  <si>
    <t>EL-050-10-10</t>
  </si>
  <si>
    <t>EL-050-20-10</t>
  </si>
  <si>
    <t>EL-050-30-10</t>
  </si>
  <si>
    <t>EL-050-40-10</t>
  </si>
  <si>
    <t>EL-050-50-10</t>
  </si>
  <si>
    <t>EL-050-60-10</t>
  </si>
  <si>
    <t>EL-050-70-10</t>
  </si>
  <si>
    <t>SD-010-10-10</t>
  </si>
  <si>
    <t>SD-010-10-20</t>
  </si>
  <si>
    <t>SD-020-10-10</t>
  </si>
  <si>
    <t>SD-020-20-10</t>
  </si>
  <si>
    <t>SD-020-20-30</t>
  </si>
  <si>
    <t>SD-030-10-10</t>
  </si>
  <si>
    <t>SD-030-20-10</t>
  </si>
  <si>
    <t>SD-030-30-10</t>
  </si>
  <si>
    <t>SD-030-40-10</t>
  </si>
  <si>
    <t>SD-040-10-10</t>
  </si>
  <si>
    <t>SD-040-10-20</t>
  </si>
  <si>
    <t>SD-040-50-20</t>
  </si>
  <si>
    <t>TR-010-10-10</t>
  </si>
  <si>
    <t>TR-010-10-20</t>
  </si>
  <si>
    <t>TR-010-20-10</t>
  </si>
  <si>
    <t>TR-010-20-20</t>
  </si>
  <si>
    <t>TR-010-20-30</t>
  </si>
  <si>
    <t>TR-010-30-10</t>
  </si>
  <si>
    <t>TR-010-40-10</t>
  </si>
  <si>
    <t>TR-010-50-10</t>
  </si>
  <si>
    <t>TR-010-50-20</t>
  </si>
  <si>
    <t>TR-020-10-10</t>
  </si>
  <si>
    <t>TR-020-10-20</t>
  </si>
  <si>
    <t>TR-020-20-10</t>
  </si>
  <si>
    <t>TR-020-30-10</t>
  </si>
  <si>
    <t>TR-020-40-10</t>
  </si>
  <si>
    <t>TR-030-10-10</t>
  </si>
  <si>
    <t>TR-030-20-10</t>
  </si>
  <si>
    <t>HR-010-10-10</t>
  </si>
  <si>
    <t>HR-010-20-10</t>
  </si>
  <si>
    <t>HR-020-10-10</t>
  </si>
  <si>
    <t>HR-020-10-20</t>
  </si>
  <si>
    <t>HR-020-20-10</t>
  </si>
  <si>
    <t>HR-020-30-10</t>
  </si>
  <si>
    <t>HR-020-40-10</t>
  </si>
  <si>
    <t>HR-020-50-10</t>
  </si>
  <si>
    <t>HR-030-10-10</t>
  </si>
  <si>
    <t>HR-030-10-20</t>
  </si>
  <si>
    <t>HR-040-10-10</t>
  </si>
  <si>
    <t>HR-040-20-10</t>
  </si>
  <si>
    <t>HR-040-20-20</t>
  </si>
  <si>
    <t>FA-010-10-10</t>
  </si>
  <si>
    <t>FA-010-10-20</t>
  </si>
  <si>
    <t>FA-010-10-30</t>
  </si>
  <si>
    <t>FA-010-20-10</t>
  </si>
  <si>
    <t>FA-010-20-20</t>
  </si>
  <si>
    <t>FA-010-30-10</t>
  </si>
  <si>
    <t>FA-020-10-10</t>
  </si>
  <si>
    <t>FA-020-20-10</t>
  </si>
  <si>
    <t>FA-030-10-10</t>
  </si>
  <si>
    <t>FA-030-20-10</t>
  </si>
  <si>
    <t>FA-040-10-10</t>
  </si>
  <si>
    <t>FA-040-20-10</t>
  </si>
  <si>
    <t>FA-040-30-10</t>
  </si>
  <si>
    <t>FA-050-10-10</t>
  </si>
  <si>
    <t>FA-060-10-10</t>
  </si>
  <si>
    <t>EX-010-10-10</t>
  </si>
  <si>
    <t>EX-010-20-10</t>
  </si>
  <si>
    <t>EX-010-30-10</t>
  </si>
  <si>
    <t>FR-010-10-10</t>
  </si>
  <si>
    <t>FR-020-10-10</t>
  </si>
  <si>
    <t>FR-020-10-20</t>
  </si>
  <si>
    <t>FR-020-20-10</t>
  </si>
  <si>
    <t>FR-020-20-20</t>
  </si>
  <si>
    <t>FR-020-20-30</t>
  </si>
  <si>
    <t>FR-020-30-10</t>
  </si>
  <si>
    <t>FR-020-40-10</t>
  </si>
  <si>
    <t>FR-030-10-10</t>
  </si>
  <si>
    <t>FR-040-10-10</t>
  </si>
  <si>
    <t>FR-040-20-10</t>
  </si>
  <si>
    <t>FR-040-30-10</t>
  </si>
  <si>
    <t>FR-040-40-10</t>
  </si>
  <si>
    <t>FR-040-50-10</t>
  </si>
  <si>
    <t>FR-040-60-10</t>
  </si>
  <si>
    <t>FR-050-10-10</t>
  </si>
  <si>
    <t>FR-050-10-20</t>
  </si>
  <si>
    <t>FR-050-20-10</t>
  </si>
  <si>
    <t>FR-060-10-10</t>
  </si>
  <si>
    <t>FR-060-20-10</t>
  </si>
  <si>
    <t>FR-060-20-20</t>
  </si>
  <si>
    <t>FR-060-30-10</t>
  </si>
  <si>
    <t>IT-010-10-10</t>
  </si>
  <si>
    <t>IT-020-10-10</t>
  </si>
  <si>
    <t>IT-020-10-20</t>
  </si>
  <si>
    <t>IT-020-10-30</t>
  </si>
  <si>
    <t>IT-020-10-40</t>
  </si>
  <si>
    <t>IT-020-10-50</t>
  </si>
  <si>
    <t>IT-020-10-60</t>
  </si>
  <si>
    <t>IT-020-10-70</t>
  </si>
  <si>
    <t>IT-020-20-10</t>
  </si>
  <si>
    <t>IT-020-20-20</t>
  </si>
  <si>
    <t>IT-020-30-10</t>
  </si>
  <si>
    <t>IT-030-10-10</t>
  </si>
  <si>
    <t>견적서의 제출 시 권한있는 승인권자가 금액 및 거래조건 등에 대하여 승인하고 문서화하여야 한다.</t>
  </si>
  <si>
    <t>매출계약은 품의서에 따라 권한있는 승인권자의 검토 및 승인에 따라 체결된다.</t>
  </si>
  <si>
    <t>매출은 관련 증빙에 따라 권한있는 승인권자의 검토 및 승인절차를 통해 기록된다.</t>
  </si>
  <si>
    <t>세금계산서 또는 invoice는 매출내역에 따라 정확하게 집계되어 빠짐없이 발행되어야 한다.</t>
  </si>
  <si>
    <t>유지보수 매출 관련 조정분개는 정확하게 계산되어야 하고, 정확성을 확보할 수 있도록 적절한 검토가 이루어져야 한다.</t>
  </si>
  <si>
    <t>매출채권은 거래처별, 만기별,신용거래 한도내 거래가 되도록 관리되어야 한다.</t>
  </si>
  <si>
    <t>미회수채권은 그 발생원인이 규명되어야 하며 주기적인 상위권자 보고를 통하여 관리되어야 한다.</t>
  </si>
  <si>
    <t>대손처리는 회수가능여부을 명확히 판단한 후 권한있는 상위권자의 승인을 받아 문서화 후 처리하여야 한다.</t>
  </si>
  <si>
    <t>대손충당금은 정확하게 계산되어야 하고, 정확성을 확보할 수 있도록 적절한 검토가 이루어져야 한다.</t>
  </si>
  <si>
    <t>고객정보변경요청은 변경요청부서에서 내부승인을 거친후 수정권한자에게 전달하여야 한다.</t>
  </si>
  <si>
    <t>고객파일에 대한 접근은 수정권한이 있는 부서로 한정되어 관리되어야 한다.</t>
  </si>
  <si>
    <t>임대매출전표는 권한있는 승인권자의 승인을 득한다.</t>
  </si>
  <si>
    <t>입금내역은 적시에 장부에 반영되어야 한다.</t>
  </si>
  <si>
    <t>입금내역은 관련 채권과 적절히 상계되고 검토되어야 한다.</t>
  </si>
  <si>
    <t xml:space="preserve">거래처 계좌마스터는 접근이 제한되어 있으며, 변경사항에 대하여 승인권자의 승인을 득하여야 한다. </t>
  </si>
  <si>
    <t>자금의 출금은 사전에 승인된 계좌에 대해서만 이루어져야 한다.</t>
  </si>
  <si>
    <t>지급 관련하여 인터넷 뱅킹을 사용할 경우, 모든 거래에 대하여 이중승인을 득한 후 이루어진다.</t>
  </si>
  <si>
    <t>대금지급 내역은 누락없이 회계전표에 기록되어 총계정원장에 반영되어야 한다.</t>
  </si>
  <si>
    <t xml:space="preserve"> 일자금수지(매일의 현금시재 포함) 는 검토되며, 전결권자의 승인을 득한다.</t>
  </si>
  <si>
    <t>통장실물 및 인감 등 회사자산에 대한 접근통제가 이루어진다.</t>
  </si>
  <si>
    <t>소액현금은 관리되고 자금일보와 일치한다.</t>
  </si>
  <si>
    <t>투자자산(금융상품 등)의 취득은 사전에 정해진 자금운용 지침에 따라 이루어지며, 상위권자의 승인을 득한다.</t>
  </si>
  <si>
    <t xml:space="preserve">투자자산(금융상품 등)의 처분과 관련한 회계처리는 적시에 이루어지고 전결권자의 승인을 득한다. </t>
  </si>
  <si>
    <t>전결권자는 금융상품 매입금액, 이자율, 만기일, 평가 등의 내역을 확인후 이자수익 전표를 승인한다.</t>
  </si>
  <si>
    <t xml:space="preserve">전결권자는 금융상품 관련 평가내역의 적절성을 검토한 후 금융상품 평가관련 전표를 승인한다. </t>
  </si>
  <si>
    <t>차입금거래는 전결권자의 승인을 득하고, 관련 증빙을 근거로 기록된다.</t>
  </si>
  <si>
    <t>직원채용은 회사의 정책을 준수하여 투명하고 공정하게 진행되어야 하고 적법한 승인절차를 거친 후에 입사가 확정되어야 한다.</t>
  </si>
  <si>
    <t>신규채용 임직원은 인사발령 후 누락 없이 정확하게 인사기록카드에 등록되며 등록된 인사정보는 입력의 정확성에 대하여 제3자에 의해 모니터링 되어야 한다.</t>
  </si>
  <si>
    <t>계산된 급여, 송금파일, 전표 등 급여관련 문서는 적절한 전결권자의 승인을 득하여야 한다.</t>
  </si>
  <si>
    <t>전결권자는 담당자가 작성한 연차충당부채 회계전표와 첨부된 산정내역 대해 검토 후 승인한다.</t>
  </si>
  <si>
    <t>모든 임직원의 급여계좌번호는 인사시스템의 인사정보에서 관리되며, 급여계좌번호의 변경은 원천자료 검토 후 수행되어야 한다.</t>
  </si>
  <si>
    <t xml:space="preserve">모든 직원에 대해 급여명세서를 발송하여야 하며, 직원은 급여명세서를 확인하고 불일치 사항은 인사팀에 보고하여 검토되도록 하여야 한다. </t>
  </si>
  <si>
    <t>급여지급, 급여계산, 급여기록, 인사기록카드관리 업무영역이 나뉘어져 있어야 하며, 업무분장에 따른 불일치사항 발생시 독립적인 담당자에 의한 조정이 있어야 한다.</t>
  </si>
  <si>
    <t>외부계리평가에 따른 장기종업원급여는 승인권자의 검토 및 승인을 득한 후 기록되어야 한다.</t>
  </si>
  <si>
    <t>급여자료의 변경시에는는 해당 품의서를 작성하여 적절한 전결권자의 승인을 득하여야 한다.</t>
  </si>
  <si>
    <t>인사기록카드의 입력 및 변경사항은 완전성, 유효성 및 정확성 확보를 위하여 승인권자의 사후 검토 및 승인을 득하여야 한다.</t>
  </si>
  <si>
    <t>모든 퇴사자는 사직서를 작성하여 전결권자의 승인을 득하여야 한다.</t>
  </si>
  <si>
    <t xml:space="preserve">확정기여형 퇴직급여와 관련한 불입금에 대해서 전결권자의 승인을 득해야 한다. </t>
  </si>
  <si>
    <t>직원의 퇴직 시 승인을 받은 퇴직원 기준으로 적시에 인사정보에 퇴직으로 변경 처리하여야 한다.</t>
  </si>
  <si>
    <t>고정자산의 취득은 품의서를 작성하여 권한있는 승인권자의 승인을 득하여야 한다.</t>
  </si>
  <si>
    <t>발주 전에 고정자산의 구매사양, 가격조건 등을 최종적으로 검토하여 공급업체를 선정하고 동 선정내역은 권한 있는 자의 검토 및 승인을 득하여 이루어져야 한다.</t>
  </si>
  <si>
    <t>권한있는 승인권자는 취득자산의 내역을 품의서와 대사를 통하여 검수보고서를 승인한다.</t>
  </si>
  <si>
    <t>권한있는 승인권자는 유형자산 취득전표와 관련 증빙을 검토하여 유형자산 취득 전표를 승인한다.</t>
  </si>
  <si>
    <t>자산 등록 시 자산 카테고리 별로 내용연수, 상각방법이 사전적으로 설정되어 이에 따라 내용연수가 등록되어야 한다.</t>
  </si>
  <si>
    <t>자산관리대장은 사전적으로 담당하는 자가 설정되어 있고, 접근 및 변경이 권한 있는 자에 한정되어야 한다.</t>
  </si>
  <si>
    <t>상각비는 정확하게 계산되어야 하고, 정확성을 확보할 수 있도록 적절한 검토가 이루어져야 한다.</t>
  </si>
  <si>
    <t>고정자산의 상각비는 적기에 장부에 기록되어야 한다.</t>
  </si>
  <si>
    <t>고정자산 처분거래는 사전에 정해진 절차에 따라 적절한 승인을 득한 후 확정되어야 한다.</t>
  </si>
  <si>
    <t>고정자산 처분관련 거래는 정확하게 기록되고 권한있는 승인권자의 승인을 득한 후 기록되어야 한다.</t>
  </si>
  <si>
    <t>자산의 자산성 및 자본적/수익적 지출의 분류는 회계정책에 따라 적절하게 분류되었는지 검토되어야 한다.</t>
  </si>
  <si>
    <t>전사차원의 고정자산 실사계획이 수립 되고 실사계획에 따른 정기적인 실사가 수행되어야 하며, 실사 결과 (부재자산, 사용중지 자산의 감액손실 계산)가 적시에 재무제표에 반영되어야 한다.</t>
  </si>
  <si>
    <t>고정자산은 해당 자산을 정확하게 식별할 수 있도록 식별표(Tag)가 부여되어 관리되어야 한다.</t>
  </si>
  <si>
    <t>전결권자는 리스 관련 조정분개(사용권자산, 리스부채, 이자비용, 유동성대체 등)가 정확하게 계산되었는지 검토하고 리스조정 전표를 승인한다.</t>
  </si>
  <si>
    <t>권한있는 상위권자는 투자부동산 결산전표를 확인하고 특이사항이 없는 경우 승인한다.</t>
  </si>
  <si>
    <t>각 부서에서 발생한 비용은 전결규정에 전결권자의 승을 득한다.</t>
  </si>
  <si>
    <t>경영지원팀 담당자는 지출결의서를 작성하지 않은 미정상리스트를 작성한 후 각 부서에 통지하여 발생비용이 누락되지 않도록 관리한다.</t>
  </si>
  <si>
    <t>영업팀에서 작성한 판매수수료정산파일을 검토하여 누락된 판매수수료 유무를 검토한다.</t>
  </si>
  <si>
    <t xml:space="preserve">결산업무규정 및 결산절차규정은 사전에 구체적으로 정립되어 있어야 하며, 결산업무분장 및 결산체크리스트를 통해 결산의 과정이 진행되어야 한다. </t>
  </si>
  <si>
    <t>전표작성시 계정과목은 사전에 설정되어 있는 것 중 선택가능하여야 하며, 전표 작성자에 의하여 생성되거나 강제입력은 불가능하도록 설정되어 있어야 한다.</t>
  </si>
  <si>
    <t>회계전표는 규정된 필수입력사항의 누락 및 (-)금액 입력 등 오류입력시 전표의 생성이 불가능하도록 시스템문서검사기능이 설정되어 있어야 한다.</t>
  </si>
  <si>
    <t>작성된 전표는 전결규정에 따라 권한있는 상위자의 승인에 의하여 전기되어야 한다.</t>
  </si>
  <si>
    <t>특정부서에서 생성하고 승인된 전표는 권한있는 독립된 부서에 의하여 검토되고 심사되도록 업무분장 되어야 한다.</t>
  </si>
  <si>
    <t>승인된 전표와 증빙은 재사용을 막기 위하여 별도로 관리되며, 규정에 의한 전표보관기간에 따라 보관되어야 한다.</t>
  </si>
  <si>
    <t>미지급전표의 발의업무와 미지급전표의 승인(심사)업무는 서로 다른 담당자에 의하여 철저히 분리되어야 한다.</t>
  </si>
  <si>
    <t>지급전표의 작성 담당자와 시스템상 승인(심사)권자는 철저히 업무가 분장되어야 한다.</t>
  </si>
  <si>
    <t>모든 결산조정분개는 권한있는 상위자의 승인을 득하여 반영되어야 한다.</t>
  </si>
  <si>
    <t>시산표의 각 항목은 분석적검토에 의하여 주요 변동원인이 적정히 파악되어야 하며, 비경상적 변동에 대하여는 변동원인의 타당성을 확보하기 위하여 관련 원인의 분석이 수행되어야 한다.</t>
  </si>
  <si>
    <t>결산이 완료되면 계정별잔액명세를 작성하여 시산표상의 잔액과 일치하는지 대사하고 차이에 대한 원인이 파악되어야 한다.</t>
  </si>
  <si>
    <t>최종 재무제표는 경영진의 검토 및 승인을 득하여 확정되어야 한다.</t>
  </si>
  <si>
    <t>재경팀 담당자는 특수관계자 목록 및 거래내역의 완전성을 검토하고, 전결권자는 확인 내역의 적정성을 검토 및 승인한다.</t>
  </si>
  <si>
    <t>기한내 법인세의 신고 및 납부를 위하여 세무조정일정표를 갖추고 있으며, 세무조정의 누락을 예방하기 위하여 세무조정Check List를 구비하고 있고, 세무조정업무는 이에 의하여 관리되어야 한다.</t>
  </si>
  <si>
    <t>세무조정결과의 계산근거와 업무분장된 분석자료는 권한있는 상위자에 의하여 문서검사, 분석, 승인되어야 한다.</t>
  </si>
  <si>
    <t>부가가치세 과세거래시 세금계산서 발행여부에 대하여 검토되어야 하며, 부가가치세 신고시 영세율 적용 대상은 관련증빙을 첨부하고 신고담당자에 의하여 검토되어야 한다.</t>
  </si>
  <si>
    <t>회계상 매출액과 부가가치세 과세표준은 신고기간별로 대사되며 차이가 발생하는 경우 그 원인을 파악하고 해당 거래에 대한 검토가 이루어져야 한다.</t>
  </si>
  <si>
    <t>부가가치세 신고서상의 매출세액과 매입세액은 총계정원장의 부가가치세예수금 및 대급금과 상호 대사되어야 하며, 그 차이내역은 적절히 업무분장되어 검토되어야 한다.</t>
  </si>
  <si>
    <t>부가가치세 담당자는 관계기관 신고전에 작성된 신고서에 대하여 전결권자의 승인을 득하여야 한다.</t>
  </si>
  <si>
    <t>IT 운영의 정책, 절차가 수립되고, 정기적으로 검토, 갱신되며, 경영진에 의해 승인되어야 한다.</t>
  </si>
  <si>
    <t>정보보안정책은 재량권자의 승인을 득한 후 유지되며, 또한 보안정책의 목적을 달성하기 위한 보안표준 프레임워크가 개발되어 있다.</t>
  </si>
  <si>
    <t>시스템에 접근하는 사용자를 확인/인증하는 절차 및 사용자 확인/인증의 효과성을 유지하기 위한 절차(접근 메커니즘의 효과성 - 패스워드의 주기적인 변경)가 마련되어 있다.</t>
  </si>
  <si>
    <t>사용자 계정을 적시에 생성, 제공, 정지 및 폐쇄하는 것을 보증하기 위한 절차가 존재하고 준수된다.</t>
  </si>
  <si>
    <t>서버/네트워크장비/보안장비는 서버관리자, 데이터베이스관리자 등 제한된 시스템 유저만 접근할 수 있도록 제한하고 있으며, 불필요한 계정을 상시 점검하고 삭제처리 한다.</t>
  </si>
  <si>
    <t>네트워크 연결이 사용되는 곳에서는 권한이 부여되지 않은 접근을 방지하기 위해 방화벽, 침입탐지시스템 등을 포함한 적절한 통제가 존재하고 사용된다.</t>
  </si>
  <si>
    <t xml:space="preserve">시스템 인프라의 접근권한 대상에는 방화벽, 스위치, 네트워크 운영 시스템, 서버 및 기타 관련 장비가 포함되어 있고, 시스템 인프라스트럭쳐는 권한 없는 접근을 방지하기 위해 적절하게 설정(Configure)되며 정기적으로 검토된다. </t>
  </si>
  <si>
    <t xml:space="preserve">전산시설에 대한 접근은 권한자로 제한되고 적절한 식별 및 인증 절차를 필요로 한다. </t>
  </si>
  <si>
    <t>신입사원 채용 및 임직원의 퇴사 시 비밀유지서약서가 작성되어 보관된다.</t>
  </si>
  <si>
    <t>IT 보안 관리자는 보안 활동(서버, 네트워크 등에 대한 주기적인 취약성 점검 포함)을 모니터링하고, 주요 취약점은 경영진에게 보고한다.</t>
  </si>
  <si>
    <t xml:space="preserve">직원들은 회사의 IT 자산을 사용함에 있어 승인된 소프트웨어만 사용한다. </t>
  </si>
  <si>
    <t>시스템담당자는 매월 IT외주서비스 제공자로 부터 제공받은 서비스 제공내역을 검토하고, 정보보안담당자에게 보고 및 승인을 득한다.</t>
  </si>
  <si>
    <t>더존</t>
  </si>
  <si>
    <t>Y</t>
  </si>
  <si>
    <t>시스템관련 통제가 아님에 따라 대상에 해당하지 않음</t>
  </si>
  <si>
    <t>EL</t>
  </si>
  <si>
    <t>EL-010</t>
  </si>
  <si>
    <t>EL-020</t>
  </si>
  <si>
    <t>EL-030</t>
  </si>
  <si>
    <t>EL-040</t>
  </si>
  <si>
    <t>EL-050</t>
  </si>
  <si>
    <t>SD</t>
  </si>
  <si>
    <t>매출관리</t>
  </si>
  <si>
    <t>SD-010</t>
  </si>
  <si>
    <t>주문 및 거래관리</t>
  </si>
  <si>
    <t>SD-020</t>
  </si>
  <si>
    <t>매출기록 및 청구</t>
  </si>
  <si>
    <t>SD-030</t>
  </si>
  <si>
    <t>채권관리 및 대손상각</t>
  </si>
  <si>
    <t>SD-040</t>
  </si>
  <si>
    <t>마스터 데이터 관리</t>
  </si>
  <si>
    <t>SD-050</t>
  </si>
  <si>
    <t>임대매출 기록</t>
  </si>
  <si>
    <t>TR</t>
  </si>
  <si>
    <t>TR-010</t>
  </si>
  <si>
    <t>입출금관리</t>
  </si>
  <si>
    <t>TR-020</t>
  </si>
  <si>
    <t>투자자산관리</t>
  </si>
  <si>
    <t>TR-030</t>
  </si>
  <si>
    <t>차입금 관리</t>
  </si>
  <si>
    <t>HR</t>
  </si>
  <si>
    <t>급여 및 인사관리</t>
  </si>
  <si>
    <t>HR-010</t>
  </si>
  <si>
    <t>직원의 채용</t>
  </si>
  <si>
    <t>HR-020</t>
  </si>
  <si>
    <t>급여 계산 및 지급</t>
  </si>
  <si>
    <t>HR-030</t>
  </si>
  <si>
    <t>인사기록관리</t>
  </si>
  <si>
    <t>HR-040</t>
  </si>
  <si>
    <t>직원의 퇴사</t>
  </si>
  <si>
    <t>FA</t>
  </si>
  <si>
    <t>고정자산관리</t>
  </si>
  <si>
    <t>FA-010</t>
  </si>
  <si>
    <t>취득 관리</t>
  </si>
  <si>
    <t>FA-020</t>
  </si>
  <si>
    <t>상각비 관리</t>
  </si>
  <si>
    <t>FA-030</t>
  </si>
  <si>
    <t>처분 관리</t>
  </si>
  <si>
    <t>FA-040</t>
  </si>
  <si>
    <t>유지보수 관리</t>
  </si>
  <si>
    <t>FA-050</t>
  </si>
  <si>
    <t>리스관리</t>
  </si>
  <si>
    <t>FA-060</t>
  </si>
  <si>
    <t>투자부동산 관리</t>
  </si>
  <si>
    <t>EX</t>
  </si>
  <si>
    <t>경비관리</t>
  </si>
  <si>
    <t>EX-010</t>
  </si>
  <si>
    <t>일반비용지출</t>
  </si>
  <si>
    <t>FR</t>
  </si>
  <si>
    <t>재무결산과 보고</t>
  </si>
  <si>
    <t>FR-010</t>
  </si>
  <si>
    <t>재무결산과 보고절차의 수립</t>
  </si>
  <si>
    <t>FR-020</t>
  </si>
  <si>
    <t>회계처리절차 및 계정원장관리</t>
  </si>
  <si>
    <t>FR-030</t>
  </si>
  <si>
    <t>결산정보의 수집절차관리</t>
  </si>
  <si>
    <t>FR-040</t>
  </si>
  <si>
    <t>재무제표작성과 보고절차의 관리</t>
  </si>
  <si>
    <t>FR-050</t>
  </si>
  <si>
    <t>법인세비용관리</t>
  </si>
  <si>
    <t>FR-060</t>
  </si>
  <si>
    <t>부가가치세 관리</t>
  </si>
  <si>
    <t>정보시스템관리</t>
  </si>
  <si>
    <t>IT-010</t>
  </si>
  <si>
    <t>정보전략</t>
  </si>
  <si>
    <t>IT-020</t>
  </si>
  <si>
    <t>정보보안</t>
  </si>
  <si>
    <t>IT-030</t>
  </si>
  <si>
    <t>SLA관리</t>
  </si>
  <si>
    <t>해당 항목의 인식에 대한 판단이 개입될 여지가 있으며, 비 경상적인 이유로 발생할 가능성이 높음에 따라 질적으로 유의할 것으로 판단함.</t>
    <phoneticPr fontId="18" type="noConversion"/>
  </si>
  <si>
    <t>△</t>
  </si>
  <si>
    <t xml:space="preserve">유형자산의 경우 고정자산 잔액 및 변동 내역내역을 공시하고 있음. 해당 계정과목에 대한 집계사항으로 추정이나 판단이 개입되지 않으며, 회계처리등의 복잡성도 낮음에 따라 질적으로 유의적이지 않을 것으로 판단함. </t>
    <phoneticPr fontId="18" type="noConversion"/>
  </si>
  <si>
    <t xml:space="preserve">투자부동산의 경우 고정자산 잔액 및 변동 내역내역을 공시하고 있음. 해당 계정과목에 대한 집계사항으로 추정이나 판단이 개입되지 않으며, 회계처리등의 복잡성도 낮음에 따라 질적으로 유의적이지 않을 것으로 판단함. </t>
    <phoneticPr fontId="18" type="noConversion"/>
  </si>
  <si>
    <t xml:space="preserve">사용권자산의 경우 고정자산 잔액 및 변동 내역내역을 공시하고 있음. 해당 계정과목에 대한 집계사항으로 추정이나 판단이 개입되지 않으며, 회계처리등의 복잡성도 낮음에 따라 질적으로 유의적이지 않을 것으로 판단함. </t>
    <phoneticPr fontId="18" type="noConversion"/>
  </si>
  <si>
    <t>리스부채는 관련 잔액뿐 아니라 만기에 대한 분석정보를 추가적으로 요구하고 있음. 다만 중요성이 낮은 항목에 해당함에 따라 제외함</t>
    <phoneticPr fontId="18" type="noConversion"/>
  </si>
  <si>
    <t xml:space="preserve">특수관계자공시의 경우 감독당국이 그 적절성에 대한 강조를 하고 있으며, 집계과정에서 누락 혹은 오류가 발생할 가능성, 특수관계자 범위에 대한 판단 등이 필요함에 따라 유의적인 것으로 판단함.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</si>
</sst>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76" formatCode="#,##0;[Red]\(#,##0\);\-"/>
    <numFmt numFmtId="177" formatCode="0_);[Red]\(0\)"/>
    <numFmt numFmtId="178" formatCode="0.0%"/>
    <numFmt numFmtId="179" formatCode="_(&quot;$&quot;* #,##0.00_);_(&quot;$&quot;* \(#,##0.00\);_(&quot;$&quot;* &quot;-&quot;??_);_(@_)"/>
    <numFmt numFmtId="180" formatCode="#,###"/>
    <numFmt numFmtId="181" formatCode="#,##0,,;[Red]\(#,##0,,\);\-"/>
    <numFmt numFmtId="182" formatCode="#,##0_);\(#,##0\)"/>
  </numFmts>
  <fonts count="80" x14ac:knownFonts="1">
    <font>
      <sz val="12"/>
      <name val="바탕체"/>
      <family val="1"/>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theme="1"/>
      <name val="나눔고딕"/>
      <family val="2"/>
      <charset val="129"/>
    </font>
    <font>
      <sz val="8"/>
      <name val="맑은 고딕"/>
      <family val="2"/>
      <charset val="129"/>
      <scheme val="minor"/>
    </font>
    <font>
      <sz val="8"/>
      <name val="나눔고딕"/>
      <family val="2"/>
      <charset val="129"/>
    </font>
    <font>
      <b/>
      <sz val="10"/>
      <color theme="0"/>
      <name val="나눔고딕"/>
      <family val="3"/>
      <charset val="129"/>
    </font>
    <font>
      <sz val="10"/>
      <color theme="0"/>
      <name val="나눔고딕"/>
      <family val="3"/>
      <charset val="129"/>
    </font>
    <font>
      <i/>
      <u/>
      <sz val="10"/>
      <name val="나눔고딕"/>
      <family val="3"/>
      <charset val="129"/>
    </font>
    <font>
      <sz val="10"/>
      <color theme="1"/>
      <name val="나눔고딕"/>
      <family val="3"/>
      <charset val="129"/>
    </font>
    <font>
      <sz val="12"/>
      <name val="Times New Roman"/>
      <family val="1"/>
    </font>
    <font>
      <b/>
      <sz val="9"/>
      <color theme="1"/>
      <name val="나눔고딕"/>
      <family val="3"/>
      <charset val="129"/>
    </font>
    <font>
      <sz val="8"/>
      <name val="돋움"/>
      <family val="3"/>
      <charset val="129"/>
    </font>
    <font>
      <sz val="9"/>
      <color theme="1"/>
      <name val="나눔고딕"/>
      <family val="3"/>
      <charset val="129"/>
    </font>
    <font>
      <sz val="8"/>
      <name val="바탕체"/>
      <family val="1"/>
      <charset val="129"/>
    </font>
    <font>
      <i/>
      <sz val="9"/>
      <color theme="1"/>
      <name val="나눔고딕"/>
      <family val="3"/>
      <charset val="129"/>
    </font>
    <font>
      <b/>
      <sz val="10"/>
      <color theme="1"/>
      <name val="나눔고딕"/>
      <family val="3"/>
      <charset val="129"/>
    </font>
    <font>
      <b/>
      <sz val="10"/>
      <name val="나눔고딕"/>
      <family val="3"/>
      <charset val="129"/>
    </font>
    <font>
      <sz val="10"/>
      <name val="나눔고딕"/>
      <family val="3"/>
      <charset val="129"/>
    </font>
    <font>
      <sz val="10"/>
      <name val="Arial"/>
      <family val="2"/>
    </font>
    <font>
      <u/>
      <sz val="11"/>
      <color indexed="12"/>
      <name val="돋움"/>
      <family val="3"/>
      <charset val="129"/>
    </font>
    <font>
      <b/>
      <sz val="10"/>
      <color rgb="FFFF0000"/>
      <name val="나눔고딕"/>
      <family val="3"/>
      <charset val="129"/>
    </font>
    <font>
      <b/>
      <i/>
      <sz val="10"/>
      <color theme="3"/>
      <name val="나눔고딕"/>
      <family val="3"/>
      <charset val="129"/>
    </font>
    <font>
      <b/>
      <sz val="9"/>
      <color rgb="FFFF0000"/>
      <name val="나눔고딕"/>
      <family val="3"/>
      <charset val="129"/>
    </font>
    <font>
      <sz val="11"/>
      <color theme="1"/>
      <name val="맑은 고딕"/>
      <family val="2"/>
      <scheme val="minor"/>
    </font>
    <font>
      <sz val="11"/>
      <name val="돋움"/>
      <family val="3"/>
      <charset val="129"/>
    </font>
    <font>
      <b/>
      <i/>
      <sz val="9"/>
      <color theme="1"/>
      <name val="나눔고딕"/>
      <family val="3"/>
      <charset val="129"/>
    </font>
    <font>
      <sz val="8"/>
      <name val="맑은 고딕"/>
      <family val="3"/>
      <charset val="129"/>
      <scheme val="minor"/>
    </font>
    <font>
      <sz val="10"/>
      <name val="맑은 고딕"/>
      <family val="3"/>
      <charset val="129"/>
    </font>
    <font>
      <b/>
      <sz val="9"/>
      <color indexed="9"/>
      <name val="나눔고딕"/>
      <family val="3"/>
      <charset val="129"/>
    </font>
    <font>
      <b/>
      <sz val="10"/>
      <color indexed="9"/>
      <name val="나눔고딕"/>
      <family val="3"/>
      <charset val="129"/>
    </font>
    <font>
      <i/>
      <sz val="10"/>
      <name val="나눔고딕"/>
      <family val="3"/>
      <charset val="129"/>
    </font>
    <font>
      <i/>
      <sz val="9"/>
      <name val="나눔고딕"/>
      <family val="3"/>
      <charset val="129"/>
    </font>
    <font>
      <b/>
      <i/>
      <sz val="9"/>
      <color rgb="FF0070C0"/>
      <name val="나눔고딕"/>
      <family val="3"/>
      <charset val="129"/>
    </font>
    <font>
      <sz val="10"/>
      <name val="바탕체"/>
      <family val="1"/>
      <charset val="129"/>
    </font>
    <font>
      <i/>
      <sz val="10"/>
      <color theme="1"/>
      <name val="나눔고딕"/>
      <family val="3"/>
      <charset val="129"/>
    </font>
    <font>
      <sz val="10"/>
      <name val="맑은 고딕"/>
      <family val="3"/>
      <charset val="129"/>
      <scheme val="minor"/>
    </font>
    <font>
      <b/>
      <sz val="9"/>
      <color theme="0"/>
      <name val="나눔고딕"/>
      <family val="3"/>
      <charset val="129"/>
    </font>
    <font>
      <b/>
      <u/>
      <sz val="9"/>
      <color indexed="12"/>
      <name val="Arial"/>
      <family val="2"/>
    </font>
    <font>
      <u/>
      <sz val="10"/>
      <color indexed="12"/>
      <name val="Arial"/>
      <family val="2"/>
    </font>
    <font>
      <u/>
      <sz val="11"/>
      <color theme="10"/>
      <name val="맑은 고딕"/>
      <family val="2"/>
      <charset val="129"/>
      <scheme val="minor"/>
    </font>
    <font>
      <b/>
      <sz val="10"/>
      <color theme="0"/>
      <name val="맑은 고딕"/>
      <family val="3"/>
      <charset val="129"/>
      <scheme val="minor"/>
    </font>
    <font>
      <i/>
      <sz val="9"/>
      <color rgb="FF0070C0"/>
      <name val="나눔고딕"/>
      <family val="3"/>
      <charset val="129"/>
    </font>
    <font>
      <b/>
      <i/>
      <sz val="10"/>
      <color rgb="FF0070C0"/>
      <name val="나눔고딕"/>
      <family val="3"/>
      <charset val="129"/>
    </font>
    <font>
      <sz val="9"/>
      <color rgb="FF0070C0"/>
      <name val="나눔고딕"/>
      <family val="3"/>
      <charset val="129"/>
    </font>
    <font>
      <i/>
      <u/>
      <sz val="10"/>
      <color theme="0"/>
      <name val="나눔고딕"/>
      <family val="3"/>
      <charset val="129"/>
    </font>
    <font>
      <b/>
      <i/>
      <sz val="10"/>
      <color rgb="FF0000FF"/>
      <name val="나눔고딕"/>
      <family val="3"/>
      <charset val="129"/>
    </font>
    <font>
      <sz val="10"/>
      <color rgb="FFFF0000"/>
      <name val="나눔고딕"/>
      <family val="3"/>
      <charset val="129"/>
    </font>
    <font>
      <b/>
      <i/>
      <sz val="10"/>
      <color theme="1"/>
      <name val="나눔고딕"/>
      <family val="3"/>
      <charset val="129"/>
    </font>
    <font>
      <b/>
      <sz val="10"/>
      <color theme="3"/>
      <name val="나눔고딕"/>
      <family val="3"/>
      <charset val="129"/>
    </font>
    <font>
      <sz val="11"/>
      <name val="Times New Roman"/>
      <family val="1"/>
    </font>
    <font>
      <sz val="11"/>
      <name val="굴림체"/>
      <family val="3"/>
      <charset val="129"/>
    </font>
    <font>
      <sz val="10"/>
      <name val="맑은 고딕"/>
      <family val="3"/>
      <charset val="129"/>
      <scheme val="major"/>
    </font>
    <font>
      <sz val="10"/>
      <color theme="1"/>
      <name val="맑은 고딕"/>
      <family val="3"/>
      <charset val="129"/>
      <scheme val="major"/>
    </font>
    <font>
      <sz val="10"/>
      <color theme="1"/>
      <name val="맑은 고딕"/>
      <family val="2"/>
      <charset val="129"/>
      <scheme val="minor"/>
    </font>
    <font>
      <sz val="10"/>
      <color theme="0"/>
      <name val="맑은 고딕"/>
      <family val="2"/>
      <charset val="129"/>
      <scheme val="minor"/>
    </font>
    <font>
      <i/>
      <sz val="10"/>
      <color theme="1"/>
      <name val="맑은 고딕"/>
      <family val="3"/>
      <charset val="129"/>
      <scheme val="minor"/>
    </font>
    <font>
      <b/>
      <sz val="10"/>
      <color rgb="FF0000FF"/>
      <name val="맑은 고딕"/>
      <family val="3"/>
      <charset val="129"/>
      <scheme val="minor"/>
    </font>
    <font>
      <b/>
      <sz val="10"/>
      <color theme="0"/>
      <name val="맑은 고딕"/>
      <family val="3"/>
      <charset val="129"/>
      <scheme val="major"/>
    </font>
    <font>
      <sz val="10"/>
      <color theme="0"/>
      <name val="맑은 고딕"/>
      <family val="3"/>
      <charset val="129"/>
      <scheme val="major"/>
    </font>
    <font>
      <b/>
      <sz val="10"/>
      <color theme="1"/>
      <name val="맑은 고딕"/>
      <family val="3"/>
      <charset val="129"/>
      <scheme val="major"/>
    </font>
    <font>
      <sz val="9"/>
      <color theme="1"/>
      <name val="맑은 고딕"/>
      <family val="3"/>
      <charset val="129"/>
      <scheme val="major"/>
    </font>
    <font>
      <b/>
      <sz val="9"/>
      <color theme="1"/>
      <name val="맑은 고딕"/>
      <family val="3"/>
      <charset val="129"/>
      <scheme val="major"/>
    </font>
    <font>
      <b/>
      <sz val="10"/>
      <name val="맑은 고딕"/>
      <family val="3"/>
      <charset val="129"/>
      <scheme val="major"/>
    </font>
    <font>
      <i/>
      <u/>
      <sz val="10"/>
      <color indexed="12"/>
      <name val="맑은 고딕"/>
      <family val="3"/>
      <charset val="129"/>
      <scheme val="major"/>
    </font>
    <font>
      <b/>
      <sz val="10"/>
      <name val="바탕체"/>
      <family val="1"/>
      <charset val="129"/>
    </font>
    <font>
      <sz val="12"/>
      <name val="Calibri"/>
      <family val="2"/>
    </font>
    <font>
      <b/>
      <sz val="9"/>
      <color theme="1"/>
      <name val="나눔고딕"/>
      <family val="3"/>
      <charset val="129"/>
    </font>
    <font>
      <b/>
      <sz val="9"/>
      <color theme="1"/>
      <name val="나눔고딕"/>
      <family val="1"/>
      <charset val="129"/>
    </font>
    <font>
      <b/>
      <sz val="10"/>
      <color theme="1"/>
      <name val="나눔고딕"/>
      <family val="3"/>
      <charset val="129"/>
    </font>
    <font>
      <sz val="10"/>
      <color theme="1"/>
      <name val="나눔고딕"/>
      <family val="3"/>
      <charset val="129"/>
    </font>
    <font>
      <i/>
      <sz val="10"/>
      <color theme="1"/>
      <name val="나눔고딕"/>
      <family val="3"/>
      <charset val="129"/>
    </font>
    <font>
      <sz val="9"/>
      <color theme="1"/>
      <name val="나눔고딕"/>
      <family val="3"/>
      <charset val="129"/>
    </font>
    <font>
      <i/>
      <sz val="9"/>
      <name val="나눔고딕"/>
      <family val="3"/>
      <charset val="129"/>
    </font>
    <font>
      <sz val="10"/>
      <color theme="1"/>
      <name val="나눔고딕"/>
      <family val="3"/>
    </font>
    <font>
      <b/>
      <sz val="9"/>
      <color theme="1"/>
      <name val="나눔고딕"/>
      <charset val="129"/>
    </font>
  </fonts>
  <fills count="14">
    <fill>
      <patternFill patternType="none"/>
    </fill>
    <fill>
      <patternFill patternType="gray125"/>
    </fill>
    <fill>
      <patternFill patternType="solid">
        <fgColor theme="8"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1"/>
        <bgColor indexed="64"/>
      </patternFill>
    </fill>
    <fill>
      <patternFill patternType="solid">
        <fgColor rgb="FF012169"/>
        <bgColor indexed="64"/>
      </patternFill>
    </fill>
    <fill>
      <patternFill patternType="solid">
        <fgColor theme="0" tint="-4.9989318521683403E-2"/>
        <bgColor indexed="64"/>
      </patternFill>
    </fill>
    <fill>
      <patternFill patternType="solid">
        <fgColor theme="3"/>
        <bgColor indexed="64"/>
      </patternFill>
    </fill>
    <fill>
      <patternFill patternType="solid">
        <fgColor theme="2"/>
        <bgColor indexed="64"/>
      </patternFill>
    </fill>
    <fill>
      <patternFill patternType="solid">
        <fgColor theme="4"/>
        <bgColor indexed="64"/>
      </patternFill>
    </fill>
    <fill>
      <patternFill patternType="solid">
        <fgColor theme="0" tint="-0.34998626667073579"/>
        <bgColor indexed="64"/>
      </patternFill>
    </fill>
    <fill>
      <patternFill patternType="solid">
        <fgColor theme="9"/>
        <bgColor indexed="64"/>
      </patternFill>
    </fill>
    <fill>
      <patternFill patternType="solid">
        <fgColor theme="8" tint="0.79998168889431442"/>
        <bgColor indexed="64"/>
      </patternFill>
    </fill>
  </fills>
  <borders count="4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hair">
        <color theme="0" tint="-4.9989318521683403E-2"/>
      </right>
      <top/>
      <bottom/>
      <diagonal/>
    </border>
    <border>
      <left style="hair">
        <color theme="0" tint="-4.9989318521683403E-2"/>
      </left>
      <right style="hair">
        <color theme="0" tint="-4.9989318521683403E-2"/>
      </right>
      <top/>
      <bottom/>
      <diagonal/>
    </border>
    <border>
      <left style="thin">
        <color theme="0"/>
      </left>
      <right style="thin">
        <color theme="0"/>
      </right>
      <top style="thin">
        <color theme="0"/>
      </top>
      <bottom style="thin">
        <color theme="0"/>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theme="0"/>
      </left>
      <right/>
      <top style="thin">
        <color theme="0"/>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theme="0"/>
      </left>
      <right style="thin">
        <color theme="0"/>
      </right>
      <top style="thin">
        <color theme="0"/>
      </top>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style="thin">
        <color indexed="64"/>
      </right>
      <top/>
      <bottom style="hair">
        <color indexed="64"/>
      </bottom>
      <diagonal/>
    </border>
  </borders>
  <cellStyleXfs count="44">
    <xf numFmtId="0" fontId="0" fillId="0" borderId="0"/>
    <xf numFmtId="41" fontId="29" fillId="0" borderId="0" applyFont="0" applyFill="0" applyBorder="0" applyAlignment="0" applyProtection="0"/>
    <xf numFmtId="9" fontId="29" fillId="0" borderId="0" applyFont="0" applyFill="0" applyBorder="0" applyAlignment="0" applyProtection="0"/>
    <xf numFmtId="0" fontId="7" fillId="0" borderId="0">
      <alignment vertical="center"/>
    </xf>
    <xf numFmtId="0" fontId="14" fillId="0" borderId="0"/>
    <xf numFmtId="0" fontId="23" fillId="0" borderId="0"/>
    <xf numFmtId="0" fontId="24" fillId="0" borderId="0" applyNumberFormat="0" applyFill="0" applyBorder="0" applyAlignment="0" applyProtection="0">
      <alignment vertical="top"/>
      <protection locked="0"/>
    </xf>
    <xf numFmtId="0" fontId="23" fillId="0" borderId="0"/>
    <xf numFmtId="0" fontId="28" fillId="0" borderId="0"/>
    <xf numFmtId="41" fontId="23" fillId="0" borderId="0" applyFont="0" applyFill="0" applyBorder="0" applyAlignment="0" applyProtection="0">
      <alignment vertical="center"/>
    </xf>
    <xf numFmtId="9" fontId="28" fillId="0" borderId="0" applyFont="0" applyFill="0" applyBorder="0" applyAlignment="0" applyProtection="0"/>
    <xf numFmtId="179" fontId="28" fillId="0" borderId="0" applyFont="0" applyFill="0" applyBorder="0" applyAlignment="0" applyProtection="0"/>
    <xf numFmtId="0" fontId="29" fillId="0" borderId="0"/>
    <xf numFmtId="0" fontId="29" fillId="0" borderId="0"/>
    <xf numFmtId="0" fontId="23" fillId="0" borderId="0"/>
    <xf numFmtId="0" fontId="14" fillId="0" borderId="0"/>
    <xf numFmtId="0" fontId="6" fillId="0" borderId="0">
      <alignment vertical="center"/>
    </xf>
    <xf numFmtId="0" fontId="29" fillId="0" borderId="0">
      <alignment vertical="center"/>
    </xf>
    <xf numFmtId="0" fontId="42" fillId="0" borderId="0">
      <alignment vertical="top"/>
    </xf>
    <xf numFmtId="0" fontId="43" fillId="0" borderId="0" applyNumberFormat="0" applyFill="0" applyBorder="0" applyAlignment="0" applyProtection="0">
      <alignment vertical="top"/>
      <protection locked="0"/>
    </xf>
    <xf numFmtId="0" fontId="23" fillId="0" borderId="0"/>
    <xf numFmtId="0" fontId="5" fillId="0" borderId="0">
      <alignment vertical="center"/>
    </xf>
    <xf numFmtId="0" fontId="44" fillId="0" borderId="0" applyNumberFormat="0" applyFill="0" applyBorder="0" applyAlignment="0" applyProtection="0">
      <alignment vertical="center"/>
    </xf>
    <xf numFmtId="0" fontId="28" fillId="0" borderId="0"/>
    <xf numFmtId="0" fontId="4" fillId="0" borderId="0">
      <alignment vertical="center"/>
    </xf>
    <xf numFmtId="41" fontId="3" fillId="0" borderId="0" applyFont="0" applyFill="0" applyBorder="0" applyAlignment="0" applyProtection="0">
      <alignment vertical="center"/>
    </xf>
    <xf numFmtId="9" fontId="54" fillId="0" borderId="0" applyFont="0" applyFill="0" applyBorder="0" applyAlignment="0" applyProtection="0"/>
    <xf numFmtId="9" fontId="3" fillId="0" borderId="0" applyFont="0" applyFill="0" applyBorder="0" applyAlignment="0" applyProtection="0">
      <alignment vertical="center"/>
    </xf>
    <xf numFmtId="0" fontId="55" fillId="0" borderId="0"/>
    <xf numFmtId="0" fontId="3" fillId="0" borderId="0">
      <alignment vertical="center"/>
    </xf>
    <xf numFmtId="41" fontId="29" fillId="0" borderId="0" applyFont="0" applyFill="0" applyBorder="0" applyAlignment="0" applyProtection="0"/>
    <xf numFmtId="0" fontId="23" fillId="0" borderId="0"/>
    <xf numFmtId="0" fontId="2" fillId="0" borderId="0">
      <alignment vertical="center"/>
    </xf>
    <xf numFmtId="0" fontId="2" fillId="0" borderId="0">
      <alignment vertical="center"/>
    </xf>
    <xf numFmtId="0" fontId="29" fillId="0" borderId="0">
      <alignment vertical="center"/>
    </xf>
    <xf numFmtId="0" fontId="1" fillId="0" borderId="0"/>
    <xf numFmtId="0" fontId="70" fillId="0" borderId="0"/>
    <xf numFmtId="0" fontId="70" fillId="0" borderId="0"/>
    <xf numFmtId="41"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1" fillId="0" borderId="0"/>
    <xf numFmtId="0" fontId="1" fillId="0" borderId="0">
      <alignment vertical="center"/>
    </xf>
  </cellStyleXfs>
  <cellXfs count="396">
    <xf numFmtId="0" fontId="0" fillId="0" borderId="0" xfId="0"/>
    <xf numFmtId="0" fontId="10" fillId="2" borderId="0" xfId="3" applyFont="1" applyFill="1">
      <alignment vertical="center"/>
    </xf>
    <xf numFmtId="0" fontId="11" fillId="2" borderId="0" xfId="3" applyFont="1" applyFill="1">
      <alignment vertical="center"/>
    </xf>
    <xf numFmtId="0" fontId="12" fillId="2" borderId="0" xfId="3" applyFont="1" applyFill="1">
      <alignment vertical="center"/>
    </xf>
    <xf numFmtId="0" fontId="13" fillId="0" borderId="0" xfId="3" applyFont="1">
      <alignment vertical="center"/>
    </xf>
    <xf numFmtId="0" fontId="12" fillId="0" borderId="0" xfId="3" applyFont="1">
      <alignment vertical="center"/>
    </xf>
    <xf numFmtId="176" fontId="17" fillId="0" borderId="0" xfId="0" applyNumberFormat="1" applyFont="1"/>
    <xf numFmtId="0" fontId="20" fillId="0" borderId="0" xfId="3" applyFont="1">
      <alignment vertical="center"/>
    </xf>
    <xf numFmtId="0" fontId="21" fillId="0" borderId="0" xfId="3" applyFont="1">
      <alignment vertical="center"/>
    </xf>
    <xf numFmtId="0" fontId="22" fillId="0" borderId="0" xfId="3" applyFont="1">
      <alignment vertical="center"/>
    </xf>
    <xf numFmtId="0" fontId="13" fillId="0" borderId="1" xfId="3" applyFont="1" applyBorder="1">
      <alignment vertical="center"/>
    </xf>
    <xf numFmtId="176" fontId="13" fillId="0" borderId="1" xfId="3" applyNumberFormat="1" applyFont="1" applyBorder="1">
      <alignment vertical="center"/>
    </xf>
    <xf numFmtId="176" fontId="13" fillId="0" borderId="0" xfId="3" applyNumberFormat="1" applyFont="1">
      <alignment vertical="center"/>
    </xf>
    <xf numFmtId="0" fontId="12" fillId="0" borderId="0" xfId="3" applyFont="1" applyAlignment="1">
      <alignment horizontal="left" vertical="center"/>
    </xf>
    <xf numFmtId="0" fontId="13" fillId="0" borderId="0" xfId="3" applyFont="1" applyAlignment="1">
      <alignment horizontal="left" vertical="center" indent="1"/>
    </xf>
    <xf numFmtId="0" fontId="13" fillId="0" borderId="2" xfId="3" applyFont="1" applyBorder="1">
      <alignment vertical="center"/>
    </xf>
    <xf numFmtId="0" fontId="12" fillId="0" borderId="0" xfId="3" applyFont="1" applyAlignment="1">
      <alignment horizontal="center" vertical="center"/>
    </xf>
    <xf numFmtId="0" fontId="25" fillId="0" borderId="0" xfId="3" applyFont="1">
      <alignment vertical="center"/>
    </xf>
    <xf numFmtId="41" fontId="20" fillId="0" borderId="0" xfId="3" applyNumberFormat="1" applyFont="1">
      <alignment vertical="center"/>
    </xf>
    <xf numFmtId="9" fontId="13" fillId="0" borderId="3" xfId="3" applyNumberFormat="1" applyFont="1" applyBorder="1">
      <alignment vertical="center"/>
    </xf>
    <xf numFmtId="41" fontId="13" fillId="0" borderId="0" xfId="3" applyNumberFormat="1" applyFont="1">
      <alignment vertical="center"/>
    </xf>
    <xf numFmtId="0" fontId="26" fillId="0" borderId="0" xfId="3" applyFont="1" applyAlignment="1">
      <alignment horizontal="left" vertical="center" indent="1"/>
    </xf>
    <xf numFmtId="0" fontId="22" fillId="0" borderId="0" xfId="3" applyFont="1" applyAlignment="1">
      <alignment horizontal="center" vertical="center"/>
    </xf>
    <xf numFmtId="0" fontId="22" fillId="0" borderId="0" xfId="3" applyFont="1" applyAlignment="1">
      <alignment vertical="top"/>
    </xf>
    <xf numFmtId="0" fontId="12" fillId="0" borderId="0" xfId="6" quotePrefix="1" applyFont="1" applyBorder="1" applyAlignment="1" applyProtection="1">
      <alignment horizontal="left" vertical="center"/>
    </xf>
    <xf numFmtId="0" fontId="21" fillId="0" borderId="0" xfId="3" applyFont="1" applyAlignment="1">
      <alignment horizontal="center" vertical="center"/>
    </xf>
    <xf numFmtId="176" fontId="17" fillId="0" borderId="0" xfId="0" applyNumberFormat="1" applyFont="1" applyAlignment="1">
      <alignment vertical="center"/>
    </xf>
    <xf numFmtId="176" fontId="30" fillId="0" borderId="22" xfId="12" applyNumberFormat="1" applyFont="1" applyBorder="1"/>
    <xf numFmtId="176" fontId="17" fillId="0" borderId="0" xfId="0" applyNumberFormat="1" applyFont="1" applyAlignment="1">
      <alignment horizontal="center"/>
    </xf>
    <xf numFmtId="176" fontId="15" fillId="0" borderId="0" xfId="0" applyNumberFormat="1" applyFont="1"/>
    <xf numFmtId="0" fontId="32" fillId="0" borderId="3" xfId="0" applyFont="1" applyBorder="1" applyAlignment="1">
      <alignment horizontal="center" vertical="center"/>
    </xf>
    <xf numFmtId="0" fontId="32" fillId="0" borderId="0" xfId="0" applyFont="1" applyAlignment="1">
      <alignment horizontal="center" vertical="center"/>
    </xf>
    <xf numFmtId="176" fontId="17" fillId="0" borderId="0" xfId="12" applyNumberFormat="1" applyFont="1"/>
    <xf numFmtId="176" fontId="15" fillId="0" borderId="0" xfId="0" applyNumberFormat="1" applyFont="1" applyAlignment="1">
      <alignment horizontal="right"/>
    </xf>
    <xf numFmtId="180" fontId="33" fillId="0" borderId="0" xfId="13" applyNumberFormat="1" applyFont="1" applyAlignment="1">
      <alignment horizontal="center" textRotation="60" wrapText="1"/>
    </xf>
    <xf numFmtId="180" fontId="34" fillId="0" borderId="24" xfId="13" applyNumberFormat="1" applyFont="1" applyBorder="1" applyAlignment="1">
      <alignment horizontal="center" textRotation="67" wrapText="1"/>
    </xf>
    <xf numFmtId="181" fontId="15" fillId="7" borderId="27" xfId="0" applyNumberFormat="1" applyFont="1" applyFill="1" applyBorder="1"/>
    <xf numFmtId="176" fontId="17" fillId="7" borderId="27" xfId="0" applyNumberFormat="1" applyFont="1" applyFill="1" applyBorder="1"/>
    <xf numFmtId="176" fontId="15" fillId="7" borderId="27" xfId="0" applyNumberFormat="1" applyFont="1" applyFill="1" applyBorder="1" applyAlignment="1">
      <alignment horizontal="center" shrinkToFit="1"/>
    </xf>
    <xf numFmtId="176" fontId="15" fillId="7" borderId="27" xfId="0" applyNumberFormat="1" applyFont="1" applyFill="1" applyBorder="1"/>
    <xf numFmtId="176" fontId="17" fillId="7" borderId="27" xfId="0" applyNumberFormat="1" applyFont="1" applyFill="1" applyBorder="1" applyAlignment="1">
      <alignment shrinkToFit="1"/>
    </xf>
    <xf numFmtId="176" fontId="17" fillId="0" borderId="0" xfId="0" applyNumberFormat="1" applyFont="1" applyAlignment="1">
      <alignment wrapText="1"/>
    </xf>
    <xf numFmtId="176" fontId="13" fillId="0" borderId="0" xfId="0" applyNumberFormat="1" applyFont="1"/>
    <xf numFmtId="176" fontId="13" fillId="0" borderId="20" xfId="0" applyNumberFormat="1" applyFont="1" applyBorder="1" applyAlignment="1">
      <alignment vertical="center"/>
    </xf>
    <xf numFmtId="176" fontId="13" fillId="0" borderId="29" xfId="0" applyNumberFormat="1" applyFont="1" applyBorder="1" applyAlignment="1">
      <alignment vertical="center"/>
    </xf>
    <xf numFmtId="176" fontId="13" fillId="0" borderId="30" xfId="0" applyNumberFormat="1" applyFont="1" applyBorder="1" applyAlignment="1">
      <alignment vertical="center"/>
    </xf>
    <xf numFmtId="176" fontId="17" fillId="0" borderId="0" xfId="0" applyNumberFormat="1" applyFont="1" applyAlignment="1">
      <alignment horizontal="right"/>
    </xf>
    <xf numFmtId="0" fontId="20" fillId="0" borderId="0" xfId="0" applyFont="1" applyAlignment="1">
      <alignment vertical="center"/>
    </xf>
    <xf numFmtId="176" fontId="27" fillId="0" borderId="0" xfId="0" applyNumberFormat="1" applyFont="1"/>
    <xf numFmtId="176" fontId="30" fillId="0" borderId="0" xfId="12" applyNumberFormat="1" applyFont="1"/>
    <xf numFmtId="176" fontId="17" fillId="0" borderId="0" xfId="0" applyNumberFormat="1" applyFont="1" applyAlignment="1">
      <alignment vertical="top"/>
    </xf>
    <xf numFmtId="176" fontId="15" fillId="0" borderId="26" xfId="0" applyNumberFormat="1" applyFont="1" applyBorder="1" applyAlignment="1">
      <alignment horizontal="left" vertical="top"/>
    </xf>
    <xf numFmtId="176" fontId="15" fillId="7" borderId="27" xfId="0" applyNumberFormat="1" applyFont="1" applyFill="1" applyBorder="1" applyAlignment="1">
      <alignment horizontal="left" vertical="top"/>
    </xf>
    <xf numFmtId="176" fontId="17" fillId="0" borderId="27" xfId="0" applyNumberFormat="1" applyFont="1" applyBorder="1" applyAlignment="1">
      <alignment horizontal="left" vertical="top"/>
    </xf>
    <xf numFmtId="176" fontId="17" fillId="0" borderId="0" xfId="0" applyNumberFormat="1" applyFont="1" applyAlignment="1">
      <alignment vertical="top" wrapText="1"/>
    </xf>
    <xf numFmtId="176" fontId="17" fillId="0" borderId="0" xfId="0" applyNumberFormat="1" applyFont="1" applyAlignment="1">
      <alignment horizontal="center" vertical="top"/>
    </xf>
    <xf numFmtId="0" fontId="32" fillId="0" borderId="0" xfId="0" applyFont="1" applyAlignment="1">
      <alignment horizontal="center" vertical="top" wrapText="1"/>
    </xf>
    <xf numFmtId="0" fontId="32" fillId="0" borderId="0" xfId="0" applyFont="1" applyAlignment="1">
      <alignment horizontal="center" vertical="top"/>
    </xf>
    <xf numFmtId="176" fontId="15" fillId="0" borderId="0" xfId="0" applyNumberFormat="1" applyFont="1" applyAlignment="1">
      <alignment horizontal="right" vertical="top" wrapText="1"/>
    </xf>
    <xf numFmtId="181" fontId="17" fillId="0" borderId="26" xfId="0" applyNumberFormat="1" applyFont="1" applyBorder="1" applyAlignment="1">
      <alignment vertical="top"/>
    </xf>
    <xf numFmtId="181" fontId="15" fillId="7" borderId="27" xfId="0" applyNumberFormat="1" applyFont="1" applyFill="1" applyBorder="1" applyAlignment="1">
      <alignment vertical="top" wrapText="1"/>
    </xf>
    <xf numFmtId="176" fontId="17" fillId="0" borderId="27" xfId="0" applyNumberFormat="1" applyFont="1" applyBorder="1" applyAlignment="1">
      <alignment vertical="top" wrapText="1"/>
    </xf>
    <xf numFmtId="181" fontId="17" fillId="0" borderId="27" xfId="0" applyNumberFormat="1" applyFont="1" applyBorder="1" applyAlignment="1">
      <alignment vertical="top"/>
    </xf>
    <xf numFmtId="181" fontId="17" fillId="0" borderId="27" xfId="0" applyNumberFormat="1" applyFont="1" applyBorder="1" applyAlignment="1">
      <alignment vertical="top" wrapText="1"/>
    </xf>
    <xf numFmtId="176" fontId="17" fillId="0" borderId="27" xfId="0" applyNumberFormat="1" applyFont="1" applyBorder="1" applyAlignment="1">
      <alignment horizontal="center" vertical="top"/>
    </xf>
    <xf numFmtId="176" fontId="17" fillId="7" borderId="27" xfId="0" applyNumberFormat="1" applyFont="1" applyFill="1" applyBorder="1" applyAlignment="1">
      <alignment vertical="top"/>
    </xf>
    <xf numFmtId="9" fontId="17" fillId="0" borderId="0" xfId="2" applyFont="1"/>
    <xf numFmtId="176" fontId="17" fillId="0" borderId="27" xfId="0" applyNumberFormat="1" applyFont="1" applyBorder="1" applyAlignment="1">
      <alignment vertical="top" shrinkToFit="1"/>
    </xf>
    <xf numFmtId="176" fontId="36" fillId="0" borderId="27" xfId="0" applyNumberFormat="1" applyFont="1" applyBorder="1" applyAlignment="1">
      <alignment horizontal="center" vertical="top"/>
    </xf>
    <xf numFmtId="176" fontId="17" fillId="7" borderId="27" xfId="0" applyNumberFormat="1" applyFont="1" applyFill="1" applyBorder="1" applyAlignment="1">
      <alignment vertical="top" shrinkToFit="1"/>
    </xf>
    <xf numFmtId="176" fontId="17" fillId="7" borderId="27" xfId="0" applyNumberFormat="1" applyFont="1" applyFill="1" applyBorder="1" applyAlignment="1">
      <alignment vertical="center"/>
    </xf>
    <xf numFmtId="176" fontId="36" fillId="0" borderId="27" xfId="0" applyNumberFormat="1" applyFont="1" applyBorder="1" applyAlignment="1">
      <alignment horizontal="center" vertical="center"/>
    </xf>
    <xf numFmtId="176" fontId="17" fillId="0" borderId="27" xfId="0" applyNumberFormat="1" applyFont="1" applyBorder="1" applyAlignment="1">
      <alignment vertical="center"/>
    </xf>
    <xf numFmtId="176" fontId="17" fillId="0" borderId="27" xfId="0" applyNumberFormat="1" applyFont="1" applyBorder="1" applyAlignment="1">
      <alignment horizontal="center" vertical="center"/>
    </xf>
    <xf numFmtId="176" fontId="13" fillId="0" borderId="31" xfId="0" applyNumberFormat="1" applyFont="1" applyBorder="1" applyAlignment="1">
      <alignment vertical="center"/>
    </xf>
    <xf numFmtId="176" fontId="13" fillId="0" borderId="21" xfId="0" applyNumberFormat="1" applyFont="1" applyBorder="1" applyAlignment="1">
      <alignment vertical="center"/>
    </xf>
    <xf numFmtId="0" fontId="47" fillId="0" borderId="11" xfId="14" applyFont="1" applyBorder="1" applyAlignment="1">
      <alignment horizontal="centerContinuous" vertical="center" wrapText="1"/>
    </xf>
    <xf numFmtId="176" fontId="17" fillId="0" borderId="27" xfId="0" applyNumberFormat="1" applyFont="1" applyBorder="1" applyAlignment="1">
      <alignment horizontal="left" vertical="top" shrinkToFit="1"/>
    </xf>
    <xf numFmtId="176" fontId="17" fillId="0" borderId="26" xfId="0" applyNumberFormat="1" applyFont="1" applyBorder="1" applyAlignment="1">
      <alignment vertical="top"/>
    </xf>
    <xf numFmtId="176" fontId="35" fillId="0" borderId="28" xfId="14" applyNumberFormat="1" applyFont="1" applyBorder="1" applyAlignment="1">
      <alignment horizontal="center" vertical="top"/>
    </xf>
    <xf numFmtId="176" fontId="46" fillId="0" borderId="27" xfId="0" applyNumberFormat="1" applyFont="1" applyBorder="1" applyAlignment="1">
      <alignment horizontal="left" vertical="top" wrapText="1"/>
    </xf>
    <xf numFmtId="176" fontId="48" fillId="7" borderId="27" xfId="0" applyNumberFormat="1" applyFont="1" applyFill="1" applyBorder="1"/>
    <xf numFmtId="176" fontId="13" fillId="0" borderId="35" xfId="0" applyNumberFormat="1" applyFont="1" applyBorder="1" applyAlignment="1">
      <alignment vertical="center"/>
    </xf>
    <xf numFmtId="0" fontId="21" fillId="0" borderId="6" xfId="3" applyFont="1" applyBorder="1">
      <alignment vertical="center"/>
    </xf>
    <xf numFmtId="0" fontId="21" fillId="0" borderId="7" xfId="3" applyFont="1" applyBorder="1">
      <alignment vertical="center"/>
    </xf>
    <xf numFmtId="0" fontId="22" fillId="0" borderId="7" xfId="3" applyFont="1" applyBorder="1">
      <alignment vertical="center"/>
    </xf>
    <xf numFmtId="0" fontId="12" fillId="0" borderId="7" xfId="6" quotePrefix="1" applyFont="1" applyFill="1" applyBorder="1" applyAlignment="1" applyProtection="1">
      <alignment horizontal="left" vertical="center"/>
    </xf>
    <xf numFmtId="0" fontId="13" fillId="0" borderId="7" xfId="3" applyFont="1" applyBorder="1">
      <alignment vertical="center"/>
    </xf>
    <xf numFmtId="0" fontId="13" fillId="0" borderId="8" xfId="3" applyFont="1" applyBorder="1">
      <alignment vertical="center"/>
    </xf>
    <xf numFmtId="0" fontId="12" fillId="0" borderId="0" xfId="3" applyFont="1" applyAlignment="1">
      <alignment vertical="center" wrapText="1"/>
    </xf>
    <xf numFmtId="0" fontId="13" fillId="0" borderId="10" xfId="3" applyFont="1" applyBorder="1">
      <alignment vertical="center"/>
    </xf>
    <xf numFmtId="0" fontId="22" fillId="0" borderId="11" xfId="3" applyFont="1" applyBorder="1">
      <alignment vertical="center"/>
    </xf>
    <xf numFmtId="0" fontId="22" fillId="0" borderId="12" xfId="3" applyFont="1" applyBorder="1">
      <alignment vertical="center"/>
    </xf>
    <xf numFmtId="0" fontId="12" fillId="0" borderId="12" xfId="3" applyFont="1" applyBorder="1">
      <alignment vertical="center"/>
    </xf>
    <xf numFmtId="0" fontId="13" fillId="0" borderId="12" xfId="3" applyFont="1" applyBorder="1">
      <alignment vertical="center"/>
    </xf>
    <xf numFmtId="0" fontId="13" fillId="0" borderId="13" xfId="3" applyFont="1" applyBorder="1">
      <alignment vertical="center"/>
    </xf>
    <xf numFmtId="0" fontId="49" fillId="0" borderId="0" xfId="3" applyFont="1" applyAlignment="1">
      <alignment horizontal="left" vertical="center"/>
    </xf>
    <xf numFmtId="0" fontId="11" fillId="0" borderId="0" xfId="3" applyFont="1">
      <alignment vertical="center"/>
    </xf>
    <xf numFmtId="176" fontId="41" fillId="6" borderId="25" xfId="0" applyNumberFormat="1" applyFont="1" applyFill="1" applyBorder="1" applyAlignment="1">
      <alignment horizontal="center" vertical="center"/>
    </xf>
    <xf numFmtId="176" fontId="41" fillId="0" borderId="0" xfId="0" applyNumberFormat="1" applyFont="1" applyAlignment="1">
      <alignment horizontal="center" vertical="center" wrapText="1"/>
    </xf>
    <xf numFmtId="0" fontId="50" fillId="0" borderId="0" xfId="3" applyFont="1">
      <alignment vertical="center"/>
    </xf>
    <xf numFmtId="176" fontId="20" fillId="0" borderId="0" xfId="0" applyNumberFormat="1" applyFont="1"/>
    <xf numFmtId="0" fontId="13" fillId="7" borderId="2" xfId="3" applyFont="1" applyFill="1" applyBorder="1">
      <alignment vertical="center"/>
    </xf>
    <xf numFmtId="0" fontId="12" fillId="7" borderId="2" xfId="3" applyFont="1" applyFill="1" applyBorder="1">
      <alignment vertical="center"/>
    </xf>
    <xf numFmtId="0" fontId="13" fillId="7" borderId="5" xfId="3" applyFont="1" applyFill="1" applyBorder="1">
      <alignment vertical="center"/>
    </xf>
    <xf numFmtId="0" fontId="13" fillId="7" borderId="15" xfId="3" applyFont="1" applyFill="1" applyBorder="1">
      <alignment vertical="center"/>
    </xf>
    <xf numFmtId="0" fontId="12" fillId="7" borderId="15" xfId="3" applyFont="1" applyFill="1" applyBorder="1">
      <alignment vertical="center"/>
    </xf>
    <xf numFmtId="0" fontId="13" fillId="7" borderId="16" xfId="3" applyFont="1" applyFill="1" applyBorder="1">
      <alignment vertical="center"/>
    </xf>
    <xf numFmtId="0" fontId="13" fillId="7" borderId="17" xfId="3" applyFont="1" applyFill="1" applyBorder="1">
      <alignment vertical="center"/>
    </xf>
    <xf numFmtId="0" fontId="13" fillId="7" borderId="0" xfId="3" applyFont="1" applyFill="1">
      <alignment vertical="center"/>
    </xf>
    <xf numFmtId="0" fontId="12" fillId="7" borderId="0" xfId="3" applyFont="1" applyFill="1">
      <alignment vertical="center"/>
    </xf>
    <xf numFmtId="0" fontId="13" fillId="7" borderId="18" xfId="3" applyFont="1" applyFill="1" applyBorder="1">
      <alignment vertical="center"/>
    </xf>
    <xf numFmtId="0" fontId="13" fillId="7" borderId="1" xfId="3" applyFont="1" applyFill="1" applyBorder="1">
      <alignment vertical="center"/>
    </xf>
    <xf numFmtId="0" fontId="12" fillId="7" borderId="1" xfId="3" applyFont="1" applyFill="1" applyBorder="1">
      <alignment vertical="center"/>
    </xf>
    <xf numFmtId="0" fontId="13" fillId="7" borderId="20" xfId="3" applyFont="1" applyFill="1" applyBorder="1">
      <alignment vertical="center"/>
    </xf>
    <xf numFmtId="0" fontId="12" fillId="0" borderId="2" xfId="3" applyFont="1" applyBorder="1">
      <alignment vertical="center"/>
    </xf>
    <xf numFmtId="176" fontId="20" fillId="0" borderId="0" xfId="4" applyNumberFormat="1" applyFont="1"/>
    <xf numFmtId="0" fontId="40" fillId="0" borderId="0" xfId="4" applyFont="1"/>
    <xf numFmtId="176" fontId="20" fillId="7" borderId="4" xfId="3" applyNumberFormat="1" applyFont="1" applyFill="1" applyBorder="1">
      <alignment vertical="center"/>
    </xf>
    <xf numFmtId="176" fontId="13" fillId="7" borderId="14" xfId="3" applyNumberFormat="1" applyFont="1" applyFill="1" applyBorder="1">
      <alignment vertical="center"/>
    </xf>
    <xf numFmtId="176" fontId="13" fillId="7" borderId="17" xfId="3" applyNumberFormat="1" applyFont="1" applyFill="1" applyBorder="1">
      <alignment vertical="center"/>
    </xf>
    <xf numFmtId="176" fontId="13" fillId="7" borderId="19" xfId="3" applyNumberFormat="1" applyFont="1" applyFill="1" applyBorder="1">
      <alignment vertical="center"/>
    </xf>
    <xf numFmtId="176" fontId="13" fillId="0" borderId="2" xfId="3" applyNumberFormat="1" applyFont="1" applyBorder="1">
      <alignment vertical="center"/>
    </xf>
    <xf numFmtId="176" fontId="13" fillId="7" borderId="0" xfId="3" applyNumberFormat="1" applyFont="1" applyFill="1">
      <alignment vertical="center"/>
    </xf>
    <xf numFmtId="176" fontId="39" fillId="7" borderId="0" xfId="3" applyNumberFormat="1" applyFont="1" applyFill="1">
      <alignment vertical="center"/>
    </xf>
    <xf numFmtId="176" fontId="13" fillId="7" borderId="1" xfId="3" applyNumberFormat="1" applyFont="1" applyFill="1" applyBorder="1">
      <alignment vertical="center"/>
    </xf>
    <xf numFmtId="176" fontId="39" fillId="7" borderId="1" xfId="3" applyNumberFormat="1" applyFont="1" applyFill="1" applyBorder="1">
      <alignment vertical="center"/>
    </xf>
    <xf numFmtId="176" fontId="39" fillId="0" borderId="0" xfId="3" applyNumberFormat="1" applyFont="1" applyAlignment="1">
      <alignment horizontal="right" vertical="center"/>
    </xf>
    <xf numFmtId="176" fontId="20" fillId="0" borderId="0" xfId="3" applyNumberFormat="1" applyFont="1">
      <alignment vertical="center"/>
    </xf>
    <xf numFmtId="176" fontId="52" fillId="0" borderId="0" xfId="3" applyNumberFormat="1" applyFont="1">
      <alignment vertical="center"/>
    </xf>
    <xf numFmtId="0" fontId="10" fillId="5" borderId="14" xfId="7" applyFont="1" applyFill="1" applyBorder="1" applyAlignment="1">
      <alignment horizontal="center" vertical="center"/>
    </xf>
    <xf numFmtId="0" fontId="11" fillId="5" borderId="15" xfId="7" applyFont="1" applyFill="1" applyBorder="1" applyAlignment="1">
      <alignment vertical="center"/>
    </xf>
    <xf numFmtId="0" fontId="11" fillId="5" borderId="16" xfId="7" applyFont="1" applyFill="1" applyBorder="1" applyAlignment="1">
      <alignment vertical="center"/>
    </xf>
    <xf numFmtId="0" fontId="22" fillId="0" borderId="0" xfId="7" applyFont="1" applyAlignment="1">
      <alignment vertical="center"/>
    </xf>
    <xf numFmtId="0" fontId="25" fillId="0" borderId="0" xfId="7" applyFont="1" applyAlignment="1">
      <alignment vertical="center"/>
    </xf>
    <xf numFmtId="0" fontId="38" fillId="0" borderId="0" xfId="0" applyFont="1" applyAlignment="1">
      <alignment vertical="center"/>
    </xf>
    <xf numFmtId="0" fontId="22" fillId="0" borderId="0" xfId="7" applyFont="1"/>
    <xf numFmtId="0" fontId="53" fillId="0" borderId="17" xfId="7" applyFont="1" applyBorder="1" applyAlignment="1">
      <alignment horizontal="center" vertical="center"/>
    </xf>
    <xf numFmtId="0" fontId="22" fillId="0" borderId="0" xfId="7" applyFont="1" applyAlignment="1">
      <alignment horizontal="left" vertical="top" wrapText="1"/>
    </xf>
    <xf numFmtId="0" fontId="22" fillId="0" borderId="0" xfId="7" applyFont="1" applyAlignment="1">
      <alignment horizontal="left" vertical="top"/>
    </xf>
    <xf numFmtId="0" fontId="22" fillId="0" borderId="18" xfId="7" applyFont="1" applyBorder="1" applyAlignment="1">
      <alignment horizontal="left" vertical="top"/>
    </xf>
    <xf numFmtId="0" fontId="50" fillId="0" borderId="17" xfId="7" applyFont="1" applyBorder="1" applyAlignment="1">
      <alignment horizontal="center" vertical="center"/>
    </xf>
    <xf numFmtId="0" fontId="50" fillId="0" borderId="19" xfId="7" applyFont="1" applyBorder="1" applyAlignment="1">
      <alignment horizontal="center" vertical="center"/>
    </xf>
    <xf numFmtId="0" fontId="50" fillId="0" borderId="14" xfId="7" applyFont="1" applyBorder="1" applyAlignment="1">
      <alignment horizontal="center" vertical="center"/>
    </xf>
    <xf numFmtId="0" fontId="22" fillId="0" borderId="15" xfId="7" applyFont="1" applyBorder="1" applyAlignment="1">
      <alignment horizontal="left" vertical="top" wrapText="1"/>
    </xf>
    <xf numFmtId="0" fontId="22" fillId="0" borderId="15" xfId="7" applyFont="1" applyBorder="1" applyAlignment="1">
      <alignment horizontal="left" vertical="top"/>
    </xf>
    <xf numFmtId="0" fontId="22" fillId="0" borderId="16" xfId="7" applyFont="1" applyBorder="1" applyAlignment="1">
      <alignment horizontal="left" vertical="top"/>
    </xf>
    <xf numFmtId="0" fontId="25" fillId="0" borderId="0" xfId="7" applyFont="1"/>
    <xf numFmtId="176" fontId="13" fillId="0" borderId="6" xfId="7" applyNumberFormat="1" applyFont="1" applyBorder="1" applyAlignment="1">
      <alignment vertical="top"/>
    </xf>
    <xf numFmtId="176" fontId="13" fillId="0" borderId="7" xfId="7" applyNumberFormat="1" applyFont="1" applyBorder="1" applyAlignment="1">
      <alignment vertical="top"/>
    </xf>
    <xf numFmtId="176" fontId="13" fillId="0" borderId="8" xfId="7" applyNumberFormat="1" applyFont="1" applyBorder="1" applyAlignment="1">
      <alignment vertical="top"/>
    </xf>
    <xf numFmtId="176" fontId="13" fillId="0" borderId="0" xfId="7" applyNumberFormat="1" applyFont="1" applyAlignment="1">
      <alignment vertical="top"/>
    </xf>
    <xf numFmtId="176" fontId="13" fillId="0" borderId="18" xfId="7" applyNumberFormat="1" applyFont="1" applyBorder="1" applyAlignment="1">
      <alignment vertical="top"/>
    </xf>
    <xf numFmtId="176" fontId="13" fillId="0" borderId="9" xfId="7" applyNumberFormat="1" applyFont="1" applyBorder="1" applyAlignment="1">
      <alignment vertical="top"/>
    </xf>
    <xf numFmtId="176" fontId="13" fillId="0" borderId="10" xfId="7" applyNumberFormat="1" applyFont="1" applyBorder="1" applyAlignment="1">
      <alignment vertical="top"/>
    </xf>
    <xf numFmtId="176" fontId="13" fillId="0" borderId="11" xfId="7" applyNumberFormat="1" applyFont="1" applyBorder="1" applyAlignment="1">
      <alignment horizontal="left" vertical="top" indent="1"/>
    </xf>
    <xf numFmtId="176" fontId="13" fillId="0" borderId="12" xfId="7" applyNumberFormat="1" applyFont="1" applyBorder="1" applyAlignment="1">
      <alignment vertical="top"/>
    </xf>
    <xf numFmtId="176" fontId="13" fillId="0" borderId="13" xfId="7" applyNumberFormat="1" applyFont="1" applyBorder="1" applyAlignment="1">
      <alignment vertical="top"/>
    </xf>
    <xf numFmtId="176" fontId="13" fillId="0" borderId="0" xfId="7" applyNumberFormat="1" applyFont="1" applyAlignment="1">
      <alignment horizontal="left" vertical="top" indent="1"/>
    </xf>
    <xf numFmtId="176" fontId="13" fillId="0" borderId="0" xfId="7" applyNumberFormat="1" applyFont="1" applyAlignment="1">
      <alignment horizontal="left" vertical="top" wrapText="1"/>
    </xf>
    <xf numFmtId="176" fontId="13" fillId="0" borderId="0" xfId="7" applyNumberFormat="1" applyFont="1" applyAlignment="1">
      <alignment horizontal="left" vertical="top"/>
    </xf>
    <xf numFmtId="176" fontId="13" fillId="0" borderId="18" xfId="7" applyNumberFormat="1" applyFont="1" applyBorder="1" applyAlignment="1">
      <alignment horizontal="left" vertical="top"/>
    </xf>
    <xf numFmtId="0" fontId="22" fillId="0" borderId="0" xfId="7" applyFont="1" applyAlignment="1">
      <alignment vertical="top"/>
    </xf>
    <xf numFmtId="0" fontId="22" fillId="0" borderId="1" xfId="7" applyFont="1" applyBorder="1" applyAlignment="1">
      <alignment horizontal="left" vertical="top" wrapText="1"/>
    </xf>
    <xf numFmtId="0" fontId="22" fillId="0" borderId="1" xfId="7" applyFont="1" applyBorder="1" applyAlignment="1">
      <alignment horizontal="left" vertical="top"/>
    </xf>
    <xf numFmtId="0" fontId="22" fillId="0" borderId="20" xfId="7" applyFont="1" applyBorder="1" applyAlignment="1">
      <alignment horizontal="left" vertical="top"/>
    </xf>
    <xf numFmtId="176" fontId="13" fillId="0" borderId="0" xfId="0" applyNumberFormat="1" applyFont="1" applyAlignment="1">
      <alignment vertical="center"/>
    </xf>
    <xf numFmtId="0" fontId="22" fillId="0" borderId="18" xfId="7" applyFont="1" applyBorder="1"/>
    <xf numFmtId="176" fontId="20" fillId="0" borderId="6" xfId="0" applyNumberFormat="1" applyFont="1" applyBorder="1" applyAlignment="1">
      <alignment vertical="center"/>
    </xf>
    <xf numFmtId="0" fontId="38" fillId="0" borderId="7" xfId="0" applyFont="1" applyBorder="1" applyAlignment="1">
      <alignment vertical="center"/>
    </xf>
    <xf numFmtId="0" fontId="38" fillId="0" borderId="8" xfId="0" applyFont="1" applyBorder="1" applyAlignment="1">
      <alignment vertical="center"/>
    </xf>
    <xf numFmtId="176" fontId="13" fillId="0" borderId="9" xfId="0" applyNumberFormat="1" applyFont="1" applyBorder="1" applyAlignment="1">
      <alignment horizontal="left" vertical="center" indent="1"/>
    </xf>
    <xf numFmtId="0" fontId="38" fillId="0" borderId="10" xfId="0" applyFont="1" applyBorder="1" applyAlignment="1">
      <alignment vertical="center"/>
    </xf>
    <xf numFmtId="176" fontId="20" fillId="0" borderId="9" xfId="0" applyNumberFormat="1" applyFont="1" applyBorder="1" applyAlignment="1">
      <alignment vertical="center"/>
    </xf>
    <xf numFmtId="176" fontId="13" fillId="0" borderId="9" xfId="0" applyNumberFormat="1" applyFont="1" applyBorder="1" applyAlignment="1">
      <alignment vertical="center"/>
    </xf>
    <xf numFmtId="176" fontId="13" fillId="0" borderId="11" xfId="0" applyNumberFormat="1" applyFont="1" applyBorder="1" applyAlignment="1">
      <alignment horizontal="left" vertical="center" indent="1"/>
    </xf>
    <xf numFmtId="0" fontId="38" fillId="0" borderId="12" xfId="0" applyFont="1" applyBorder="1" applyAlignment="1">
      <alignment vertical="center"/>
    </xf>
    <xf numFmtId="0" fontId="38" fillId="0" borderId="13" xfId="0" applyFont="1" applyBorder="1" applyAlignment="1">
      <alignment vertical="center"/>
    </xf>
    <xf numFmtId="0" fontId="22" fillId="0" borderId="1" xfId="7" applyFont="1" applyBorder="1"/>
    <xf numFmtId="0" fontId="22" fillId="0" borderId="20" xfId="7" applyFont="1" applyBorder="1"/>
    <xf numFmtId="0" fontId="53" fillId="0" borderId="0" xfId="7" applyFont="1" applyAlignment="1">
      <alignment horizontal="center" vertical="center"/>
    </xf>
    <xf numFmtId="176" fontId="52" fillId="0" borderId="22" xfId="12" applyNumberFormat="1" applyFont="1" applyBorder="1"/>
    <xf numFmtId="176" fontId="13" fillId="0" borderId="0" xfId="0" applyNumberFormat="1" applyFont="1" applyAlignment="1">
      <alignment vertical="top" wrapText="1"/>
    </xf>
    <xf numFmtId="176" fontId="13" fillId="0" borderId="0" xfId="0" applyNumberFormat="1" applyFont="1" applyAlignment="1">
      <alignment horizontal="center" vertical="top"/>
    </xf>
    <xf numFmtId="176" fontId="13" fillId="0" borderId="0" xfId="0" applyNumberFormat="1" applyFont="1" applyAlignment="1">
      <alignment vertical="top"/>
    </xf>
    <xf numFmtId="176" fontId="20" fillId="0" borderId="0" xfId="0" applyNumberFormat="1" applyFont="1" applyAlignment="1">
      <alignment horizontal="right" vertical="top" wrapText="1"/>
    </xf>
    <xf numFmtId="180" fontId="34" fillId="0" borderId="0" xfId="13" applyNumberFormat="1" applyFont="1" applyAlignment="1">
      <alignment horizontal="center" textRotation="60" wrapText="1"/>
    </xf>
    <xf numFmtId="176" fontId="10" fillId="0" borderId="0" xfId="0" applyNumberFormat="1" applyFont="1" applyAlignment="1">
      <alignment horizontal="center" vertical="center" wrapText="1"/>
    </xf>
    <xf numFmtId="181" fontId="13" fillId="0" borderId="26" xfId="0" applyNumberFormat="1" applyFont="1" applyBorder="1" applyAlignment="1">
      <alignment vertical="top" wrapText="1"/>
    </xf>
    <xf numFmtId="181" fontId="13" fillId="0" borderId="26" xfId="0" applyNumberFormat="1" applyFont="1" applyBorder="1" applyAlignment="1">
      <alignment vertical="top"/>
    </xf>
    <xf numFmtId="176" fontId="13" fillId="0" borderId="26" xfId="0" applyNumberFormat="1" applyFont="1" applyBorder="1"/>
    <xf numFmtId="176" fontId="13" fillId="0" borderId="12" xfId="0" applyNumberFormat="1" applyFont="1" applyBorder="1" applyAlignment="1">
      <alignment horizontal="centerContinuous"/>
    </xf>
    <xf numFmtId="176" fontId="13" fillId="0" borderId="13" xfId="0" applyNumberFormat="1" applyFont="1" applyBorder="1" applyAlignment="1">
      <alignment horizontal="centerContinuous"/>
    </xf>
    <xf numFmtId="181" fontId="20" fillId="7" borderId="27" xfId="0" applyNumberFormat="1" applyFont="1" applyFill="1" applyBorder="1" applyAlignment="1">
      <alignment vertical="top" wrapText="1"/>
    </xf>
    <xf numFmtId="176" fontId="13" fillId="7" borderId="27" xfId="0" applyNumberFormat="1" applyFont="1" applyFill="1" applyBorder="1"/>
    <xf numFmtId="176" fontId="13" fillId="7" borderId="27" xfId="0" applyNumberFormat="1" applyFont="1" applyFill="1" applyBorder="1" applyAlignment="1">
      <alignment shrinkToFit="1"/>
    </xf>
    <xf numFmtId="176" fontId="20" fillId="0" borderId="27" xfId="0" applyNumberFormat="1" applyFont="1" applyBorder="1" applyAlignment="1">
      <alignment vertical="top" wrapText="1"/>
    </xf>
    <xf numFmtId="176" fontId="13" fillId="0" borderId="27" xfId="0" applyNumberFormat="1" applyFont="1" applyBorder="1" applyAlignment="1">
      <alignment horizontal="center" vertical="top"/>
    </xf>
    <xf numFmtId="176" fontId="13" fillId="0" borderId="27" xfId="0" applyNumberFormat="1" applyFont="1" applyBorder="1" applyAlignment="1">
      <alignment vertical="top" shrinkToFit="1"/>
    </xf>
    <xf numFmtId="176" fontId="13" fillId="0" borderId="27" xfId="0" applyNumberFormat="1" applyFont="1" applyBorder="1" applyAlignment="1">
      <alignment horizontal="left" vertical="top" wrapText="1" indent="1"/>
    </xf>
    <xf numFmtId="176" fontId="20" fillId="0" borderId="0" xfId="0" applyNumberFormat="1" applyFont="1" applyAlignment="1">
      <alignment vertical="top"/>
    </xf>
    <xf numFmtId="181" fontId="37" fillId="0" borderId="7" xfId="0" applyNumberFormat="1" applyFont="1" applyBorder="1" applyAlignment="1">
      <alignment vertical="top" wrapText="1"/>
    </xf>
    <xf numFmtId="176" fontId="17" fillId="0" borderId="7" xfId="0" applyNumberFormat="1" applyFont="1" applyBorder="1" applyAlignment="1">
      <alignment horizontal="center" vertical="top" shrinkToFit="1"/>
    </xf>
    <xf numFmtId="181" fontId="37" fillId="0" borderId="7" xfId="0" applyNumberFormat="1" applyFont="1" applyBorder="1" applyAlignment="1">
      <alignment vertical="top"/>
    </xf>
    <xf numFmtId="176" fontId="17" fillId="0" borderId="7" xfId="0" applyNumberFormat="1" applyFont="1" applyBorder="1" applyAlignment="1">
      <alignment horizontal="center" vertical="top"/>
    </xf>
    <xf numFmtId="176" fontId="17" fillId="0" borderId="7" xfId="0" applyNumberFormat="1" applyFont="1" applyBorder="1" applyAlignment="1">
      <alignment vertical="top" shrinkToFit="1"/>
    </xf>
    <xf numFmtId="176" fontId="36" fillId="0" borderId="7" xfId="0" applyNumberFormat="1" applyFont="1" applyBorder="1" applyAlignment="1">
      <alignment horizontal="center" vertical="top"/>
    </xf>
    <xf numFmtId="176" fontId="46" fillId="0" borderId="7" xfId="0" applyNumberFormat="1" applyFont="1" applyBorder="1" applyAlignment="1">
      <alignment horizontal="center"/>
    </xf>
    <xf numFmtId="176" fontId="17" fillId="0" borderId="7" xfId="0" applyNumberFormat="1" applyFont="1" applyBorder="1"/>
    <xf numFmtId="176" fontId="17" fillId="0" borderId="7" xfId="0" applyNumberFormat="1" applyFont="1" applyBorder="1" applyAlignment="1">
      <alignment vertical="center"/>
    </xf>
    <xf numFmtId="0" fontId="0" fillId="0" borderId="7" xfId="0" applyBorder="1" applyAlignment="1">
      <alignment vertical="top"/>
    </xf>
    <xf numFmtId="176" fontId="17" fillId="0" borderId="27" xfId="0" applyNumberFormat="1" applyFont="1" applyBorder="1" applyAlignment="1">
      <alignment horizontal="left" vertical="top" indent="1"/>
    </xf>
    <xf numFmtId="176" fontId="17" fillId="0" borderId="0" xfId="0" quotePrefix="1" applyNumberFormat="1" applyFont="1"/>
    <xf numFmtId="41" fontId="17" fillId="0" borderId="0" xfId="1" applyFont="1" applyBorder="1" applyAlignment="1">
      <alignment vertical="top"/>
    </xf>
    <xf numFmtId="178" fontId="13" fillId="0" borderId="0" xfId="3" applyNumberFormat="1" applyFont="1">
      <alignment vertical="center"/>
    </xf>
    <xf numFmtId="41" fontId="21" fillId="0" borderId="12" xfId="1" applyFont="1" applyFill="1" applyBorder="1" applyAlignment="1">
      <alignment vertical="center"/>
    </xf>
    <xf numFmtId="41" fontId="13" fillId="0" borderId="0" xfId="1" applyFont="1" applyAlignment="1">
      <alignment vertical="center"/>
    </xf>
    <xf numFmtId="176" fontId="19" fillId="0" borderId="27" xfId="0" applyNumberFormat="1" applyFont="1" applyBorder="1" applyAlignment="1">
      <alignment horizontal="left" vertical="top" wrapText="1"/>
    </xf>
    <xf numFmtId="176" fontId="17" fillId="0" borderId="27" xfId="0" applyNumberFormat="1" applyFont="1" applyBorder="1" applyAlignment="1">
      <alignment vertical="top"/>
    </xf>
    <xf numFmtId="176" fontId="17" fillId="0" borderId="27" xfId="0" applyNumberFormat="1" applyFont="1" applyBorder="1" applyAlignment="1">
      <alignment horizontal="left" vertical="top" wrapText="1"/>
    </xf>
    <xf numFmtId="176" fontId="13" fillId="0" borderId="11" xfId="0" applyNumberFormat="1" applyFont="1" applyBorder="1"/>
    <xf numFmtId="176" fontId="13" fillId="7" borderId="36" xfId="0" applyNumberFormat="1" applyFont="1" applyFill="1" applyBorder="1"/>
    <xf numFmtId="176" fontId="35" fillId="0" borderId="36" xfId="0" applyNumberFormat="1" applyFont="1" applyBorder="1" applyAlignment="1">
      <alignment horizontal="center" vertical="top"/>
    </xf>
    <xf numFmtId="176" fontId="13" fillId="0" borderId="13" xfId="0" applyNumberFormat="1" applyFont="1" applyBorder="1"/>
    <xf numFmtId="176" fontId="13" fillId="7" borderId="37" xfId="0" applyNumberFormat="1" applyFont="1" applyFill="1" applyBorder="1"/>
    <xf numFmtId="176" fontId="35" fillId="0" borderId="37" xfId="0" applyNumberFormat="1" applyFont="1" applyBorder="1" applyAlignment="1">
      <alignment horizontal="center" vertical="top"/>
    </xf>
    <xf numFmtId="176" fontId="13" fillId="0" borderId="27" xfId="0" applyNumberFormat="1" applyFont="1" applyBorder="1" applyAlignment="1">
      <alignment horizontal="center" vertical="center"/>
    </xf>
    <xf numFmtId="176" fontId="13" fillId="0" borderId="27" xfId="0" applyNumberFormat="1" applyFont="1" applyBorder="1"/>
    <xf numFmtId="176" fontId="13" fillId="0" borderId="27" xfId="0" applyNumberFormat="1" applyFont="1" applyBorder="1" applyAlignment="1">
      <alignment vertical="center"/>
    </xf>
    <xf numFmtId="176" fontId="17" fillId="0" borderId="27" xfId="0" applyNumberFormat="1" applyFont="1" applyBorder="1"/>
    <xf numFmtId="176" fontId="17" fillId="9" borderId="27" xfId="0" applyNumberFormat="1" applyFont="1" applyFill="1" applyBorder="1" applyAlignment="1">
      <alignment vertical="center"/>
    </xf>
    <xf numFmtId="176" fontId="17" fillId="0" borderId="26" xfId="0" applyNumberFormat="1" applyFont="1" applyBorder="1" applyAlignment="1">
      <alignment vertical="center"/>
    </xf>
    <xf numFmtId="176" fontId="15" fillId="0" borderId="27" xfId="0" applyNumberFormat="1" applyFont="1" applyBorder="1" applyAlignment="1">
      <alignment horizontal="left" vertical="top"/>
    </xf>
    <xf numFmtId="176" fontId="17" fillId="9" borderId="0" xfId="0" applyNumberFormat="1" applyFont="1" applyFill="1"/>
    <xf numFmtId="176" fontId="15" fillId="9" borderId="27" xfId="0" applyNumberFormat="1" applyFont="1" applyFill="1" applyBorder="1" applyAlignment="1">
      <alignment horizontal="left" vertical="top"/>
    </xf>
    <xf numFmtId="176" fontId="17" fillId="9" borderId="27" xfId="0" applyNumberFormat="1" applyFont="1" applyFill="1" applyBorder="1" applyAlignment="1">
      <alignment vertical="top"/>
    </xf>
    <xf numFmtId="176" fontId="17" fillId="9" borderId="26" xfId="0" applyNumberFormat="1" applyFont="1" applyFill="1" applyBorder="1" applyAlignment="1">
      <alignment vertical="center"/>
    </xf>
    <xf numFmtId="176" fontId="17" fillId="9" borderId="0" xfId="0" applyNumberFormat="1" applyFont="1" applyFill="1" applyAlignment="1">
      <alignment vertical="center"/>
    </xf>
    <xf numFmtId="176" fontId="15" fillId="9" borderId="0" xfId="0" applyNumberFormat="1" applyFont="1" applyFill="1"/>
    <xf numFmtId="176" fontId="15" fillId="9" borderId="27" xfId="0" applyNumberFormat="1" applyFont="1" applyFill="1" applyBorder="1" applyAlignment="1">
      <alignment vertical="top"/>
    </xf>
    <xf numFmtId="176" fontId="17" fillId="9" borderId="27" xfId="0" applyNumberFormat="1" applyFont="1" applyFill="1" applyBorder="1" applyAlignment="1">
      <alignment vertical="top" shrinkToFit="1"/>
    </xf>
    <xf numFmtId="176" fontId="36" fillId="9" borderId="27" xfId="0" applyNumberFormat="1" applyFont="1" applyFill="1" applyBorder="1" applyAlignment="1">
      <alignment horizontal="center" vertical="top"/>
    </xf>
    <xf numFmtId="176" fontId="15" fillId="9" borderId="27" xfId="0" applyNumberFormat="1" applyFont="1" applyFill="1" applyBorder="1" applyAlignment="1">
      <alignment vertical="center"/>
    </xf>
    <xf numFmtId="176" fontId="15" fillId="9" borderId="0" xfId="0" applyNumberFormat="1" applyFont="1" applyFill="1" applyAlignment="1">
      <alignment vertical="center"/>
    </xf>
    <xf numFmtId="176" fontId="20" fillId="0" borderId="0" xfId="21" applyNumberFormat="1" applyFont="1">
      <alignment vertical="center"/>
    </xf>
    <xf numFmtId="176" fontId="13" fillId="0" borderId="0" xfId="21" applyNumberFormat="1" applyFont="1">
      <alignment vertical="center"/>
    </xf>
    <xf numFmtId="0" fontId="58" fillId="0" borderId="0" xfId="21" applyFont="1" applyAlignment="1">
      <alignment horizontal="center" vertical="center"/>
    </xf>
    <xf numFmtId="0" fontId="58" fillId="0" borderId="0" xfId="21" applyFont="1" applyAlignment="1">
      <alignment vertical="center" wrapText="1"/>
    </xf>
    <xf numFmtId="0" fontId="58" fillId="0" borderId="0" xfId="21" applyFont="1" applyAlignment="1">
      <alignment horizontal="center" vertical="center" wrapText="1"/>
    </xf>
    <xf numFmtId="0" fontId="58" fillId="0" borderId="0" xfId="21" applyFont="1">
      <alignment vertical="center"/>
    </xf>
    <xf numFmtId="0" fontId="59" fillId="0" borderId="0" xfId="21" applyFont="1" applyAlignment="1"/>
    <xf numFmtId="0" fontId="58" fillId="0" borderId="0" xfId="21" applyFont="1" applyAlignment="1"/>
    <xf numFmtId="0" fontId="61" fillId="0" borderId="0" xfId="21" applyFont="1">
      <alignment vertical="center"/>
    </xf>
    <xf numFmtId="0" fontId="60" fillId="0" borderId="0" xfId="21" applyFont="1">
      <alignment vertical="center"/>
    </xf>
    <xf numFmtId="176" fontId="13" fillId="0" borderId="3" xfId="21" applyNumberFormat="1" applyFont="1" applyBorder="1">
      <alignment vertical="center"/>
    </xf>
    <xf numFmtId="176" fontId="13" fillId="0" borderId="3" xfId="21" applyNumberFormat="1" applyFont="1" applyBorder="1" applyAlignment="1">
      <alignment vertical="center" wrapText="1"/>
    </xf>
    <xf numFmtId="176" fontId="13" fillId="0" borderId="0" xfId="21" applyNumberFormat="1" applyFont="1" applyAlignment="1">
      <alignment vertical="center" wrapText="1"/>
    </xf>
    <xf numFmtId="0" fontId="63" fillId="8" borderId="0" xfId="0" applyFont="1" applyFill="1" applyAlignment="1">
      <alignment vertical="center"/>
    </xf>
    <xf numFmtId="0" fontId="57" fillId="0" borderId="0" xfId="0" applyFont="1" applyAlignment="1">
      <alignment vertical="center"/>
    </xf>
    <xf numFmtId="0" fontId="64" fillId="0" borderId="0" xfId="0" applyFont="1" applyAlignment="1">
      <alignment vertical="center"/>
    </xf>
    <xf numFmtId="176" fontId="66" fillId="0" borderId="0" xfId="0" applyNumberFormat="1" applyFont="1" applyAlignment="1">
      <alignment vertical="center"/>
    </xf>
    <xf numFmtId="176" fontId="65" fillId="0" borderId="0" xfId="0" applyNumberFormat="1" applyFont="1" applyAlignment="1">
      <alignment vertical="center"/>
    </xf>
    <xf numFmtId="0" fontId="64" fillId="7" borderId="1" xfId="0" applyFont="1" applyFill="1" applyBorder="1" applyAlignment="1">
      <alignment horizontal="center" vertical="center"/>
    </xf>
    <xf numFmtId="0" fontId="57" fillId="0" borderId="0" xfId="0" applyFont="1" applyAlignment="1">
      <alignment horizontal="center" vertical="center"/>
    </xf>
    <xf numFmtId="0" fontId="67" fillId="0" borderId="0" xfId="0" applyFont="1" applyAlignment="1">
      <alignment horizontal="center" vertical="center"/>
    </xf>
    <xf numFmtId="0" fontId="67" fillId="0" borderId="0" xfId="0" applyFont="1" applyAlignment="1">
      <alignment vertical="center"/>
    </xf>
    <xf numFmtId="0" fontId="56" fillId="0" borderId="0" xfId="0" applyFont="1" applyAlignment="1">
      <alignment vertical="center"/>
    </xf>
    <xf numFmtId="0" fontId="56" fillId="0" borderId="0" xfId="0" applyFont="1" applyAlignment="1">
      <alignment horizontal="left" vertical="center"/>
    </xf>
    <xf numFmtId="0" fontId="56" fillId="0" borderId="0" xfId="0" applyFont="1" applyAlignment="1">
      <alignment horizontal="center" vertical="center"/>
    </xf>
    <xf numFmtId="0" fontId="68" fillId="0" borderId="0" xfId="6" quotePrefix="1" applyFont="1" applyBorder="1" applyAlignment="1" applyProtection="1">
      <alignment horizontal="left" vertical="center"/>
    </xf>
    <xf numFmtId="0" fontId="56" fillId="0" borderId="0" xfId="0" applyFont="1" applyAlignment="1">
      <alignment vertical="top"/>
    </xf>
    <xf numFmtId="0" fontId="67" fillId="0" borderId="0" xfId="0" applyFont="1" applyAlignment="1">
      <alignment vertical="top"/>
    </xf>
    <xf numFmtId="0" fontId="68" fillId="0" borderId="0" xfId="6" quotePrefix="1" applyFont="1" applyAlignment="1" applyProtection="1">
      <alignment vertical="center"/>
    </xf>
    <xf numFmtId="176" fontId="66" fillId="0" borderId="0" xfId="0" applyNumberFormat="1" applyFont="1" applyAlignment="1">
      <alignment vertical="top"/>
    </xf>
    <xf numFmtId="0" fontId="57" fillId="0" borderId="1" xfId="0" applyFont="1" applyBorder="1" applyAlignment="1">
      <alignment horizontal="center" vertical="center"/>
    </xf>
    <xf numFmtId="0" fontId="38" fillId="0" borderId="0" xfId="0" applyFont="1"/>
    <xf numFmtId="0" fontId="10" fillId="2" borderId="0" xfId="0" applyFont="1" applyFill="1" applyAlignment="1">
      <alignment vertical="center"/>
    </xf>
    <xf numFmtId="0" fontId="11" fillId="2" borderId="0" xfId="0" applyFont="1" applyFill="1" applyAlignment="1">
      <alignment vertical="center"/>
    </xf>
    <xf numFmtId="0" fontId="12" fillId="2" borderId="0" xfId="0" applyFont="1" applyFill="1" applyAlignment="1">
      <alignment vertical="center"/>
    </xf>
    <xf numFmtId="0" fontId="13" fillId="0" borderId="0" xfId="0" applyFont="1" applyAlignment="1">
      <alignment vertical="center"/>
    </xf>
    <xf numFmtId="0" fontId="12" fillId="0" borderId="0" xfId="0" applyFont="1" applyAlignment="1">
      <alignment vertical="center"/>
    </xf>
    <xf numFmtId="176" fontId="20" fillId="0" borderId="0" xfId="7" applyNumberFormat="1" applyFont="1"/>
    <xf numFmtId="176" fontId="20" fillId="7" borderId="0" xfId="0" applyNumberFormat="1" applyFont="1" applyFill="1" applyAlignment="1">
      <alignment vertical="center"/>
    </xf>
    <xf numFmtId="0" fontId="38" fillId="7" borderId="0" xfId="0" applyFont="1" applyFill="1"/>
    <xf numFmtId="176" fontId="13" fillId="7" borderId="0" xfId="0" applyNumberFormat="1" applyFont="1" applyFill="1"/>
    <xf numFmtId="176" fontId="51" fillId="7" borderId="0" xfId="0" applyNumberFormat="1" applyFont="1" applyFill="1"/>
    <xf numFmtId="0" fontId="13" fillId="7" borderId="3" xfId="0" applyFont="1" applyFill="1" applyBorder="1" applyAlignment="1">
      <alignment vertical="center"/>
    </xf>
    <xf numFmtId="0" fontId="69" fillId="0" borderId="0" xfId="0" applyFont="1"/>
    <xf numFmtId="176" fontId="13" fillId="0" borderId="34" xfId="0" applyNumberFormat="1" applyFont="1" applyBorder="1" applyAlignment="1">
      <alignment vertical="center"/>
    </xf>
    <xf numFmtId="176" fontId="13" fillId="0" borderId="33" xfId="0" applyNumberFormat="1" applyFont="1" applyBorder="1" applyAlignment="1">
      <alignment vertical="center"/>
    </xf>
    <xf numFmtId="176" fontId="13" fillId="0" borderId="41" xfId="0" applyNumberFormat="1" applyFont="1" applyBorder="1" applyAlignment="1">
      <alignment vertical="center"/>
    </xf>
    <xf numFmtId="176" fontId="71" fillId="9" borderId="27" xfId="0" applyNumberFormat="1" applyFont="1" applyFill="1" applyBorder="1" applyAlignment="1">
      <alignment horizontal="left" vertical="top"/>
    </xf>
    <xf numFmtId="41" fontId="17" fillId="0" borderId="27" xfId="1" applyFont="1" applyFill="1" applyBorder="1" applyAlignment="1">
      <alignment vertical="top"/>
    </xf>
    <xf numFmtId="41" fontId="15" fillId="9" borderId="27" xfId="1" applyFont="1" applyFill="1" applyBorder="1" applyAlignment="1">
      <alignment vertical="top"/>
    </xf>
    <xf numFmtId="41" fontId="15" fillId="0" borderId="27" xfId="1" applyFont="1" applyFill="1" applyBorder="1" applyAlignment="1">
      <alignment vertical="top"/>
    </xf>
    <xf numFmtId="41" fontId="15" fillId="7" borderId="27" xfId="1" applyFont="1" applyFill="1" applyBorder="1" applyAlignment="1">
      <alignment vertical="top"/>
    </xf>
    <xf numFmtId="41" fontId="37" fillId="0" borderId="7" xfId="1" applyFont="1" applyBorder="1" applyAlignment="1">
      <alignment vertical="top"/>
    </xf>
    <xf numFmtId="41" fontId="17" fillId="0" borderId="0" xfId="1" applyFont="1"/>
    <xf numFmtId="176" fontId="41" fillId="10" borderId="25" xfId="0" applyNumberFormat="1" applyFont="1" applyFill="1" applyBorder="1" applyAlignment="1">
      <alignment horizontal="center" vertical="center"/>
    </xf>
    <xf numFmtId="176" fontId="41" fillId="11" borderId="25" xfId="0" applyNumberFormat="1" applyFont="1" applyFill="1" applyBorder="1" applyAlignment="1">
      <alignment horizontal="center" vertical="center" wrapText="1"/>
    </xf>
    <xf numFmtId="180" fontId="33" fillId="11" borderId="23" xfId="13" applyNumberFormat="1" applyFont="1" applyFill="1" applyBorder="1" applyAlignment="1">
      <alignment horizontal="center" textRotation="67" wrapText="1"/>
    </xf>
    <xf numFmtId="180" fontId="33" fillId="11" borderId="24" xfId="13" applyNumberFormat="1" applyFont="1" applyFill="1" applyBorder="1" applyAlignment="1">
      <alignment horizontal="center" textRotation="67" wrapText="1"/>
    </xf>
    <xf numFmtId="180" fontId="34" fillId="11" borderId="24" xfId="13" applyNumberFormat="1" applyFont="1" applyFill="1" applyBorder="1" applyAlignment="1">
      <alignment horizontal="center" textRotation="67" wrapText="1"/>
    </xf>
    <xf numFmtId="176" fontId="10" fillId="11" borderId="25" xfId="0" applyNumberFormat="1" applyFont="1" applyFill="1" applyBorder="1" applyAlignment="1">
      <alignment horizontal="center" vertical="center" wrapText="1"/>
    </xf>
    <xf numFmtId="176" fontId="10" fillId="11" borderId="38" xfId="0" applyNumberFormat="1" applyFont="1" applyFill="1" applyBorder="1" applyAlignment="1">
      <alignment horizontal="center" vertical="center" wrapText="1"/>
    </xf>
    <xf numFmtId="180" fontId="34" fillId="11" borderId="23" xfId="13" applyNumberFormat="1" applyFont="1" applyFill="1" applyBorder="1" applyAlignment="1">
      <alignment horizontal="center" textRotation="67" wrapText="1"/>
    </xf>
    <xf numFmtId="176" fontId="10" fillId="11" borderId="1" xfId="0" applyNumberFormat="1" applyFont="1" applyFill="1" applyBorder="1" applyAlignment="1">
      <alignment horizontal="center" vertical="center"/>
    </xf>
    <xf numFmtId="177" fontId="10" fillId="11" borderId="1" xfId="0" applyNumberFormat="1" applyFont="1" applyFill="1" applyBorder="1" applyAlignment="1">
      <alignment horizontal="center" vertical="center"/>
    </xf>
    <xf numFmtId="0" fontId="10" fillId="11" borderId="1" xfId="5" applyFont="1" applyFill="1" applyBorder="1" applyAlignment="1">
      <alignment horizontal="center" vertical="center" wrapText="1"/>
    </xf>
    <xf numFmtId="0" fontId="62" fillId="10" borderId="0" xfId="0" applyFont="1" applyFill="1" applyAlignment="1">
      <alignment vertical="center"/>
    </xf>
    <xf numFmtId="0" fontId="63" fillId="10" borderId="0" xfId="0" applyFont="1" applyFill="1" applyAlignment="1">
      <alignment vertical="center"/>
    </xf>
    <xf numFmtId="176" fontId="41" fillId="10" borderId="25" xfId="0" applyNumberFormat="1" applyFont="1" applyFill="1" applyBorder="1" applyAlignment="1">
      <alignment horizontal="center" vertical="center" wrapText="1"/>
    </xf>
    <xf numFmtId="176" fontId="41" fillId="10" borderId="32" xfId="0" applyNumberFormat="1" applyFont="1" applyFill="1" applyBorder="1" applyAlignment="1">
      <alignment horizontal="center" vertical="center"/>
    </xf>
    <xf numFmtId="176" fontId="10" fillId="10" borderId="25" xfId="0" applyNumberFormat="1" applyFont="1" applyFill="1" applyBorder="1" applyAlignment="1">
      <alignment horizontal="center" vertical="center" wrapText="1"/>
    </xf>
    <xf numFmtId="0" fontId="45" fillId="10" borderId="38" xfId="21" applyFont="1" applyFill="1" applyBorder="1" applyAlignment="1">
      <alignment horizontal="center" vertical="center" wrapText="1"/>
    </xf>
    <xf numFmtId="176" fontId="10" fillId="12" borderId="38" xfId="0" applyNumberFormat="1" applyFont="1" applyFill="1" applyBorder="1" applyAlignment="1">
      <alignment horizontal="center" vertical="center" wrapText="1"/>
    </xf>
    <xf numFmtId="181" fontId="72" fillId="7" borderId="27" xfId="0" applyNumberFormat="1" applyFont="1" applyFill="1" applyBorder="1" applyAlignment="1">
      <alignment vertical="top" wrapText="1"/>
    </xf>
    <xf numFmtId="41" fontId="13" fillId="0" borderId="0" xfId="1" applyFont="1" applyFill="1" applyAlignment="1">
      <alignment vertical="center"/>
    </xf>
    <xf numFmtId="41" fontId="13" fillId="0" borderId="1" xfId="1" applyFont="1" applyFill="1" applyBorder="1" applyAlignment="1">
      <alignment vertical="center"/>
    </xf>
    <xf numFmtId="41" fontId="13" fillId="0" borderId="1" xfId="1" applyFont="1" applyBorder="1" applyAlignment="1">
      <alignment vertical="center"/>
    </xf>
    <xf numFmtId="41" fontId="22" fillId="0" borderId="0" xfId="1" applyFont="1" applyFill="1" applyAlignment="1">
      <alignment vertical="center"/>
    </xf>
    <xf numFmtId="41" fontId="13" fillId="0" borderId="2" xfId="1" applyFont="1" applyBorder="1" applyAlignment="1">
      <alignment vertical="center"/>
    </xf>
    <xf numFmtId="41" fontId="20" fillId="3" borderId="3" xfId="1" applyFont="1" applyFill="1" applyBorder="1" applyAlignment="1">
      <alignment vertical="center"/>
    </xf>
    <xf numFmtId="41" fontId="13" fillId="4" borderId="3" xfId="1" applyFont="1" applyFill="1" applyBorder="1" applyAlignment="1">
      <alignment vertical="top"/>
    </xf>
    <xf numFmtId="176" fontId="13" fillId="0" borderId="9" xfId="3" applyNumberFormat="1" applyFont="1" applyBorder="1">
      <alignment vertical="center"/>
    </xf>
    <xf numFmtId="176" fontId="10" fillId="5" borderId="25" xfId="14" applyNumberFormat="1" applyFont="1" applyFill="1" applyBorder="1" applyAlignment="1">
      <alignment horizontal="center" vertical="center" wrapText="1"/>
    </xf>
    <xf numFmtId="182" fontId="20" fillId="7" borderId="27" xfId="1" applyNumberFormat="1" applyFont="1" applyFill="1" applyBorder="1" applyAlignment="1">
      <alignment vertical="top"/>
    </xf>
    <xf numFmtId="182" fontId="73" fillId="0" borderId="27" xfId="1" applyNumberFormat="1" applyFont="1" applyBorder="1" applyAlignment="1">
      <alignment vertical="top"/>
    </xf>
    <xf numFmtId="182" fontId="13" fillId="0" borderId="27" xfId="1" applyNumberFormat="1" applyFont="1" applyBorder="1" applyAlignment="1">
      <alignment vertical="top"/>
    </xf>
    <xf numFmtId="182" fontId="74" fillId="0" borderId="27" xfId="1" applyNumberFormat="1" applyFont="1" applyFill="1" applyBorder="1" applyAlignment="1">
      <alignment vertical="top"/>
    </xf>
    <xf numFmtId="41" fontId="15" fillId="13" borderId="27" xfId="1" applyFont="1" applyFill="1" applyBorder="1" applyAlignment="1">
      <alignment vertical="top"/>
    </xf>
    <xf numFmtId="176" fontId="72" fillId="9" borderId="27" xfId="0" applyNumberFormat="1" applyFont="1" applyFill="1" applyBorder="1" applyAlignment="1">
      <alignment horizontal="left" vertical="top"/>
    </xf>
    <xf numFmtId="176" fontId="76" fillId="0" borderId="27" xfId="0" applyNumberFormat="1" applyFont="1" applyBorder="1" applyAlignment="1">
      <alignment horizontal="left" vertical="top" indent="1"/>
    </xf>
    <xf numFmtId="41" fontId="76" fillId="0" borderId="27" xfId="1" applyFont="1" applyFill="1" applyBorder="1" applyAlignment="1">
      <alignment vertical="top"/>
    </xf>
    <xf numFmtId="176" fontId="76" fillId="0" borderId="27" xfId="0" applyNumberFormat="1" applyFont="1" applyBorder="1" applyAlignment="1">
      <alignment vertical="top"/>
    </xf>
    <xf numFmtId="176" fontId="76" fillId="0" borderId="27" xfId="0" applyNumberFormat="1" applyFont="1" applyBorder="1" applyAlignment="1">
      <alignment vertical="top" shrinkToFit="1"/>
    </xf>
    <xf numFmtId="176" fontId="77" fillId="0" borderId="27" xfId="0" applyNumberFormat="1" applyFont="1" applyBorder="1" applyAlignment="1">
      <alignment horizontal="center" vertical="top"/>
    </xf>
    <xf numFmtId="176" fontId="76" fillId="0" borderId="27" xfId="0" applyNumberFormat="1" applyFont="1" applyBorder="1" applyAlignment="1">
      <alignment vertical="center"/>
    </xf>
    <xf numFmtId="176" fontId="76" fillId="0" borderId="0" xfId="0" applyNumberFormat="1" applyFont="1" applyAlignment="1">
      <alignment vertical="center"/>
    </xf>
    <xf numFmtId="176" fontId="76" fillId="0" borderId="0" xfId="0" applyNumberFormat="1" applyFont="1"/>
    <xf numFmtId="41" fontId="13" fillId="0" borderId="27" xfId="1" applyFont="1" applyBorder="1" applyAlignment="1">
      <alignment vertical="top"/>
    </xf>
    <xf numFmtId="41" fontId="74" fillId="0" borderId="27" xfId="1" applyFont="1" applyFill="1" applyBorder="1" applyAlignment="1">
      <alignment vertical="top"/>
    </xf>
    <xf numFmtId="176" fontId="13" fillId="0" borderId="18" xfId="0" applyNumberFormat="1" applyFont="1" applyBorder="1" applyAlignment="1">
      <alignment vertical="center"/>
    </xf>
    <xf numFmtId="176" fontId="78" fillId="0" borderId="30" xfId="0" applyNumberFormat="1" applyFont="1" applyBorder="1" applyAlignment="1">
      <alignment vertical="center"/>
    </xf>
    <xf numFmtId="176" fontId="13" fillId="0" borderId="3" xfId="0" applyNumberFormat="1" applyFont="1" applyBorder="1" applyAlignment="1">
      <alignment vertical="center"/>
    </xf>
    <xf numFmtId="176" fontId="10" fillId="11" borderId="14" xfId="0" applyNumberFormat="1" applyFont="1" applyFill="1" applyBorder="1" applyAlignment="1">
      <alignment horizontal="center" vertical="center"/>
    </xf>
    <xf numFmtId="176" fontId="10" fillId="11" borderId="3" xfId="0" applyNumberFormat="1" applyFont="1" applyFill="1" applyBorder="1" applyAlignment="1">
      <alignment horizontal="center" vertical="center"/>
    </xf>
    <xf numFmtId="176" fontId="10" fillId="11" borderId="33" xfId="0" applyNumberFormat="1" applyFont="1" applyFill="1" applyBorder="1" applyAlignment="1">
      <alignment horizontal="center" vertical="center"/>
    </xf>
    <xf numFmtId="176" fontId="10" fillId="11" borderId="16" xfId="0" applyNumberFormat="1" applyFont="1" applyFill="1" applyBorder="1" applyAlignment="1">
      <alignment horizontal="center" vertical="center"/>
    </xf>
    <xf numFmtId="176" fontId="13" fillId="0" borderId="42" xfId="0" applyNumberFormat="1" applyFont="1" applyBorder="1" applyAlignment="1">
      <alignment vertical="center"/>
    </xf>
    <xf numFmtId="176" fontId="13" fillId="0" borderId="43" xfId="0" applyNumberFormat="1" applyFont="1" applyBorder="1" applyAlignment="1">
      <alignment vertical="center"/>
    </xf>
    <xf numFmtId="176" fontId="13" fillId="0" borderId="44" xfId="0" applyNumberFormat="1" applyFont="1" applyBorder="1" applyAlignment="1">
      <alignment vertical="center"/>
    </xf>
    <xf numFmtId="176" fontId="13" fillId="0" borderId="45" xfId="0" applyNumberFormat="1" applyFont="1" applyBorder="1" applyAlignment="1">
      <alignment vertical="center"/>
    </xf>
    <xf numFmtId="176" fontId="78" fillId="0" borderId="42" xfId="0" applyNumberFormat="1" applyFont="1" applyBorder="1" applyAlignment="1">
      <alignment vertical="center"/>
    </xf>
    <xf numFmtId="176" fontId="13" fillId="0" borderId="5" xfId="0" applyNumberFormat="1" applyFont="1" applyBorder="1" applyAlignment="1">
      <alignment vertical="center"/>
    </xf>
    <xf numFmtId="176" fontId="13" fillId="0" borderId="46" xfId="0" applyNumberFormat="1" applyFont="1" applyBorder="1" applyAlignment="1">
      <alignment vertical="center"/>
    </xf>
    <xf numFmtId="176" fontId="79" fillId="0" borderId="0" xfId="0" applyNumberFormat="1" applyFont="1"/>
    <xf numFmtId="176" fontId="79" fillId="0" borderId="27" xfId="0" applyNumberFormat="1" applyFont="1" applyBorder="1" applyAlignment="1">
      <alignment horizontal="center" vertical="center"/>
    </xf>
    <xf numFmtId="0" fontId="64" fillId="7" borderId="1" xfId="0" applyFont="1" applyFill="1" applyBorder="1" applyAlignment="1">
      <alignment horizontal="center" vertical="center"/>
    </xf>
    <xf numFmtId="0" fontId="57" fillId="0" borderId="1" xfId="0" applyFont="1" applyBorder="1" applyAlignment="1">
      <alignment horizontal="center" vertical="center"/>
    </xf>
    <xf numFmtId="176" fontId="65" fillId="0" borderId="0" xfId="0" applyNumberFormat="1" applyFont="1" applyAlignment="1">
      <alignment horizontal="left" vertical="center" wrapText="1"/>
    </xf>
    <xf numFmtId="0" fontId="13" fillId="0" borderId="6" xfId="3" applyFont="1" applyBorder="1" applyAlignment="1">
      <alignment horizontal="left" vertical="center" wrapText="1"/>
    </xf>
    <xf numFmtId="0" fontId="13" fillId="0" borderId="7" xfId="3" applyFont="1" applyBorder="1" applyAlignment="1">
      <alignment horizontal="left" vertical="center" wrapText="1"/>
    </xf>
    <xf numFmtId="0" fontId="13" fillId="0" borderId="8" xfId="3" applyFont="1" applyBorder="1" applyAlignment="1">
      <alignment horizontal="left" vertical="center" wrapText="1"/>
    </xf>
    <xf numFmtId="0" fontId="13" fillId="0" borderId="11" xfId="3" applyFont="1" applyBorder="1" applyAlignment="1">
      <alignment horizontal="left" vertical="center" wrapText="1"/>
    </xf>
    <xf numFmtId="0" fontId="13" fillId="0" borderId="12" xfId="3" applyFont="1" applyBorder="1" applyAlignment="1">
      <alignment horizontal="left" vertical="center" wrapText="1"/>
    </xf>
    <xf numFmtId="0" fontId="13" fillId="0" borderId="13" xfId="3" applyFont="1" applyBorder="1" applyAlignment="1">
      <alignment horizontal="left" vertical="center" wrapText="1"/>
    </xf>
    <xf numFmtId="0" fontId="13" fillId="0" borderId="9" xfId="3" applyFont="1" applyBorder="1" applyAlignment="1">
      <alignment horizontal="left" vertical="center" wrapText="1"/>
    </xf>
    <xf numFmtId="0" fontId="13" fillId="0" borderId="0" xfId="3" applyFont="1" applyAlignment="1">
      <alignment horizontal="left" vertical="center" wrapText="1"/>
    </xf>
    <xf numFmtId="0" fontId="13" fillId="0" borderId="10" xfId="3" applyFont="1" applyBorder="1" applyAlignment="1">
      <alignment horizontal="left" vertical="center" wrapText="1"/>
    </xf>
    <xf numFmtId="176" fontId="10" fillId="11" borderId="25" xfId="0" applyNumberFormat="1" applyFont="1" applyFill="1" applyBorder="1" applyAlignment="1">
      <alignment horizontal="center" vertical="center" wrapText="1"/>
    </xf>
    <xf numFmtId="176" fontId="13" fillId="7" borderId="0" xfId="0" applyNumberFormat="1" applyFont="1" applyFill="1" applyAlignment="1">
      <alignment vertical="top" wrapText="1"/>
    </xf>
    <xf numFmtId="176" fontId="39" fillId="0" borderId="33" xfId="0" applyNumberFormat="1" applyFont="1" applyBorder="1" applyAlignment="1">
      <alignment horizontal="left" vertical="center" wrapText="1"/>
    </xf>
    <xf numFmtId="176" fontId="75" fillId="0" borderId="31" xfId="0" applyNumberFormat="1" applyFont="1" applyBorder="1" applyAlignment="1">
      <alignment horizontal="left" vertical="center" wrapText="1"/>
    </xf>
    <xf numFmtId="176" fontId="75" fillId="0" borderId="21" xfId="0" applyNumberFormat="1" applyFont="1" applyBorder="1" applyAlignment="1">
      <alignment horizontal="left" vertical="center" wrapText="1"/>
    </xf>
    <xf numFmtId="0" fontId="45" fillId="10" borderId="25" xfId="21" applyFont="1" applyFill="1" applyBorder="1" applyAlignment="1">
      <alignment horizontal="center" vertical="center" wrapText="1"/>
    </xf>
    <xf numFmtId="176" fontId="10" fillId="11" borderId="32" xfId="0" applyNumberFormat="1" applyFont="1" applyFill="1" applyBorder="1" applyAlignment="1">
      <alignment horizontal="center" vertical="center" wrapText="1"/>
    </xf>
    <xf numFmtId="176" fontId="10" fillId="11" borderId="39" xfId="0" applyNumberFormat="1" applyFont="1" applyFill="1" applyBorder="1" applyAlignment="1">
      <alignment horizontal="center" vertical="center" wrapText="1"/>
    </xf>
    <xf numFmtId="176" fontId="10" fillId="12" borderId="32" xfId="0" applyNumberFormat="1" applyFont="1" applyFill="1" applyBorder="1" applyAlignment="1">
      <alignment horizontal="center" vertical="center" wrapText="1"/>
    </xf>
    <xf numFmtId="176" fontId="10" fillId="12" borderId="39" xfId="0" applyNumberFormat="1" applyFont="1" applyFill="1" applyBorder="1" applyAlignment="1">
      <alignment horizontal="center" vertical="center" wrapText="1"/>
    </xf>
    <xf numFmtId="176" fontId="10" fillId="12" borderId="40" xfId="0" applyNumberFormat="1" applyFont="1" applyFill="1" applyBorder="1" applyAlignment="1">
      <alignment horizontal="center" vertical="center" wrapText="1"/>
    </xf>
    <xf numFmtId="0" fontId="21" fillId="0" borderId="0" xfId="7" applyFont="1" applyAlignment="1">
      <alignment horizontal="left" vertical="top" wrapText="1"/>
    </xf>
    <xf numFmtId="0" fontId="21" fillId="0" borderId="0" xfId="7" applyFont="1" applyAlignment="1">
      <alignment horizontal="left" vertical="top"/>
    </xf>
    <xf numFmtId="0" fontId="21" fillId="0" borderId="18" xfId="7" applyFont="1" applyBorder="1" applyAlignment="1">
      <alignment horizontal="left" vertical="top"/>
    </xf>
    <xf numFmtId="176" fontId="13" fillId="0" borderId="0" xfId="7" applyNumberFormat="1" applyFont="1" applyAlignment="1">
      <alignment horizontal="left" vertical="top" wrapText="1"/>
    </xf>
    <xf numFmtId="176" fontId="13" fillId="0" borderId="0" xfId="7" applyNumberFormat="1" applyFont="1" applyAlignment="1">
      <alignment horizontal="left" vertical="top"/>
    </xf>
    <xf numFmtId="176" fontId="13" fillId="0" borderId="18" xfId="7" applyNumberFormat="1" applyFont="1" applyBorder="1" applyAlignment="1">
      <alignment horizontal="left" vertical="top"/>
    </xf>
    <xf numFmtId="176" fontId="13" fillId="0" borderId="18" xfId="7" applyNumberFormat="1" applyFont="1" applyBorder="1" applyAlignment="1">
      <alignment horizontal="left" vertical="top" wrapText="1"/>
    </xf>
    <xf numFmtId="0" fontId="22" fillId="0" borderId="1" xfId="7" applyFont="1" applyBorder="1" applyAlignment="1">
      <alignment horizontal="left" vertical="top" wrapText="1"/>
    </xf>
    <xf numFmtId="0" fontId="22" fillId="0" borderId="1" xfId="7" applyFont="1" applyBorder="1" applyAlignment="1">
      <alignment horizontal="left" vertical="top"/>
    </xf>
    <xf numFmtId="0" fontId="22" fillId="0" borderId="20" xfId="7" applyFont="1" applyBorder="1" applyAlignment="1">
      <alignment horizontal="left" vertical="top"/>
    </xf>
    <xf numFmtId="0" fontId="22" fillId="0" borderId="0" xfId="7" applyFont="1" applyAlignment="1">
      <alignment horizontal="left" vertical="top" wrapText="1"/>
    </xf>
    <xf numFmtId="0" fontId="22" fillId="0" borderId="0" xfId="7" applyFont="1" applyAlignment="1">
      <alignment horizontal="left" vertical="top"/>
    </xf>
    <xf numFmtId="0" fontId="22" fillId="0" borderId="18" xfId="7" applyFont="1" applyBorder="1" applyAlignment="1">
      <alignment horizontal="left" vertical="top"/>
    </xf>
    <xf numFmtId="176" fontId="13" fillId="0" borderId="3" xfId="21" applyNumberFormat="1" applyFont="1" applyFill="1" applyBorder="1">
      <alignment vertical="center"/>
    </xf>
    <xf numFmtId="0" fontId="57" fillId="0" borderId="3" xfId="21" applyFont="1" applyFill="1" applyBorder="1">
      <alignment vertical="center"/>
    </xf>
  </cellXfs>
  <cellStyles count="44">
    <cellStyle name="Hyperlink 2" xfId="19" xr:uid="{00000000-0005-0000-0000-000000000000}"/>
    <cellStyle name="Normal 2" xfId="20" xr:uid="{00000000-0005-0000-0000-000001000000}"/>
    <cellStyle name="Normal 2 2" xfId="31" xr:uid="{00000000-0005-0000-0000-000002000000}"/>
    <cellStyle name="Normal 3" xfId="7" xr:uid="{00000000-0005-0000-0000-000003000000}"/>
    <cellStyle name="Normal 3 2" xfId="37" xr:uid="{CD280064-08E7-42BD-BC47-2677E6120D3D}"/>
    <cellStyle name="Normal_Dongwoo Material Account" xfId="15" xr:uid="{00000000-0005-0000-0000-000004000000}"/>
    <cellStyle name="Normal_E1_주요계정 및 주석 선정_draft_2005_7_5" xfId="4" xr:uid="{00000000-0005-0000-0000-000005000000}"/>
    <cellStyle name="Normal_Sheet1 2" xfId="5" xr:uid="{00000000-0005-0000-0000-000006000000}"/>
    <cellStyle name="NoteTabLinks" xfId="18" xr:uid="{00000000-0005-0000-0000-000007000000}"/>
    <cellStyle name="백분율" xfId="2" builtinId="5"/>
    <cellStyle name="백분율 2" xfId="10" xr:uid="{00000000-0005-0000-0000-000009000000}"/>
    <cellStyle name="백분율 2 2" xfId="39" xr:uid="{96FB60FE-37D6-48D6-94A3-468C45914D85}"/>
    <cellStyle name="백분율 3" xfId="26" xr:uid="{00000000-0005-0000-0000-00000A000000}"/>
    <cellStyle name="백분율 4" xfId="27" xr:uid="{00000000-0005-0000-0000-00000B000000}"/>
    <cellStyle name="백분율 4 2" xfId="40" xr:uid="{FE55E5E1-9FAB-429E-90D8-B6E7D1C08B26}"/>
    <cellStyle name="쉼표 [0]" xfId="1" builtinId="6"/>
    <cellStyle name="쉼표 [0] 2" xfId="25" xr:uid="{00000000-0005-0000-0000-00000D000000}"/>
    <cellStyle name="쉼표 [0] 2 4" xfId="38" xr:uid="{C8456BB8-E2E2-4984-BF72-F9C690E9EA4D}"/>
    <cellStyle name="쉼표 [0] 3" xfId="9" xr:uid="{00000000-0005-0000-0000-00000E000000}"/>
    <cellStyle name="쉼표 [0] 3 2" xfId="30" xr:uid="{00000000-0005-0000-0000-00000F000000}"/>
    <cellStyle name="쉼표 4 2" xfId="41" xr:uid="{B88D9D6D-0C46-478C-9C09-1535C10F0EFC}"/>
    <cellStyle name="통화 2" xfId="11" xr:uid="{00000000-0005-0000-0000-000010000000}"/>
    <cellStyle name="표준" xfId="0" builtinId="0"/>
    <cellStyle name="표준 2" xfId="17" xr:uid="{00000000-0005-0000-0000-000012000000}"/>
    <cellStyle name="표준 2 2" xfId="14" xr:uid="{00000000-0005-0000-0000-000013000000}"/>
    <cellStyle name="표준 2 2 2" xfId="34" xr:uid="{00000000-0005-0000-0000-000014000000}"/>
    <cellStyle name="표준 2 3" xfId="23" xr:uid="{00000000-0005-0000-0000-000015000000}"/>
    <cellStyle name="표준 3" xfId="12" xr:uid="{00000000-0005-0000-0000-000016000000}"/>
    <cellStyle name="표준 3 2 2" xfId="35" xr:uid="{BABF36C3-F69E-47FA-8E5C-59EF81786B05}"/>
    <cellStyle name="표준 3 3" xfId="43" xr:uid="{9259FC75-7CF8-4920-82C7-B356348D2F73}"/>
    <cellStyle name="표준 3 4" xfId="32" xr:uid="{00000000-0005-0000-0000-000017000000}"/>
    <cellStyle name="표준 4" xfId="3" xr:uid="{00000000-0005-0000-0000-000018000000}"/>
    <cellStyle name="표준 4 2" xfId="8" xr:uid="{00000000-0005-0000-0000-000019000000}"/>
    <cellStyle name="표준 4 2 2" xfId="42" xr:uid="{72E35528-580B-4DFF-A380-BDD9E144F3E6}"/>
    <cellStyle name="표준 5" xfId="21" xr:uid="{00000000-0005-0000-0000-00001A000000}"/>
    <cellStyle name="표준 50" xfId="28" xr:uid="{00000000-0005-0000-0000-00001B000000}"/>
    <cellStyle name="표준 6" xfId="16" xr:uid="{00000000-0005-0000-0000-00001C000000}"/>
    <cellStyle name="표준 6 2" xfId="33" xr:uid="{00000000-0005-0000-0000-00001D000000}"/>
    <cellStyle name="표준 7" xfId="24" xr:uid="{00000000-0005-0000-0000-00001E000000}"/>
    <cellStyle name="표준 8" xfId="29" xr:uid="{00000000-0005-0000-0000-00001F000000}"/>
    <cellStyle name="표준 9" xfId="36" xr:uid="{4DBC49A0-55B5-431E-9CE0-266DD45D9055}"/>
    <cellStyle name="표준_유형자산_Control Matrix_기흥_조상기_요금관리_Control Matrix_최필균" xfId="13" xr:uid="{00000000-0005-0000-0000-000025000000}"/>
    <cellStyle name="하이퍼링크" xfId="6" builtinId="8"/>
    <cellStyle name="하이퍼링크 2" xfId="22" xr:uid="{00000000-0005-0000-0000-000027000000}"/>
  </cellStyles>
  <dxfs count="153">
    <dxf>
      <font>
        <color theme="0"/>
      </font>
    </dxf>
    <dxf>
      <fill>
        <patternFill>
          <bgColor theme="0" tint="-4.9989318521683403E-2"/>
        </patternFill>
      </fill>
    </dxf>
    <dxf>
      <fill>
        <patternFill>
          <bgColor theme="0" tint="-4.9989318521683403E-2"/>
        </patternFill>
      </fill>
      <border>
        <vertical/>
        <horizontal/>
      </border>
    </dxf>
    <dxf>
      <fill>
        <patternFill>
          <bgColor theme="0" tint="-4.9989318521683403E-2"/>
        </patternFill>
      </fill>
      <border>
        <vertical/>
        <horizontal/>
      </border>
    </dxf>
    <dxf>
      <fill>
        <patternFill>
          <bgColor theme="0" tint="-4.9989318521683403E-2"/>
        </patternFill>
      </fill>
    </dxf>
    <dxf>
      <font>
        <color rgb="FF9C0006"/>
      </font>
    </dxf>
    <dxf>
      <font>
        <color theme="0"/>
      </font>
    </dxf>
    <dxf>
      <font>
        <color theme="0" tint="-0.24994659260841701"/>
      </font>
    </dxf>
    <dxf>
      <font>
        <color rgb="FF9C0006"/>
      </font>
    </dxf>
    <dxf>
      <fill>
        <patternFill>
          <bgColor theme="0" tint="-4.9989318521683403E-2"/>
        </patternFill>
      </fill>
    </dxf>
    <dxf>
      <fill>
        <patternFill>
          <bgColor theme="0" tint="-4.9989318521683403E-2"/>
        </patternFill>
      </fill>
      <border>
        <vertical/>
        <horizontal/>
      </border>
    </dxf>
    <dxf>
      <font>
        <color rgb="FF9C0006"/>
      </font>
    </dxf>
    <dxf>
      <font>
        <color theme="0"/>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ill>
        <patternFill>
          <bgColor theme="0" tint="-4.9989318521683403E-2"/>
        </patternFill>
      </fill>
      <border>
        <vertical/>
        <horizontal/>
      </border>
    </dxf>
    <dxf>
      <fill>
        <patternFill>
          <bgColor theme="0" tint="-4.9989318521683403E-2"/>
        </patternFill>
      </fill>
    </dxf>
    <dxf>
      <fill>
        <patternFill>
          <bgColor theme="0" tint="-4.9989318521683403E-2"/>
        </patternFill>
      </fill>
      <border>
        <vertical/>
        <horizontal/>
      </border>
    </dxf>
    <dxf>
      <fill>
        <patternFill>
          <bgColor theme="0" tint="-4.9989318521683403E-2"/>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theme="0" tint="-0.24994659260841701"/>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theme="0"/>
      </font>
    </dxf>
    <dxf>
      <font>
        <color theme="0"/>
      </font>
    </dxf>
    <dxf>
      <font>
        <color theme="0"/>
      </font>
    </dxf>
    <dxf>
      <font>
        <color theme="0" tint="-0.24994659260841701"/>
      </font>
    </dxf>
    <dxf>
      <font>
        <color theme="0" tint="-0.24994659260841701"/>
      </font>
    </dxf>
    <dxf>
      <font>
        <color theme="0" tint="-0.24994659260841701"/>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bgColor theme="0" tint="-4.9989318521683403E-2"/>
        </patternFill>
      </fill>
      <border>
        <vertical/>
        <horizontal/>
      </border>
    </dxf>
    <dxf>
      <fill>
        <patternFill>
          <bgColor theme="0" tint="-4.9989318521683403E-2"/>
        </patternFill>
      </fill>
    </dxf>
    <dxf>
      <fill>
        <patternFill>
          <bgColor theme="0" tint="-4.9989318521683403E-2"/>
        </patternFill>
      </fill>
      <border>
        <vertical/>
        <horizontal/>
      </border>
    </dxf>
    <dxf>
      <fill>
        <patternFill>
          <bgColor theme="0" tint="-4.9989318521683403E-2"/>
        </patternFill>
      </fill>
    </dxf>
    <dxf>
      <fill>
        <patternFill>
          <bgColor theme="0" tint="-4.9989318521683403E-2"/>
        </patternFill>
      </fill>
      <border>
        <vertical/>
        <horizontal/>
      </border>
    </dxf>
    <dxf>
      <fill>
        <patternFill>
          <bgColor theme="0" tint="-4.9989318521683403E-2"/>
        </patternFill>
      </fill>
    </dxf>
    <dxf>
      <fill>
        <patternFill>
          <bgColor theme="0" tint="-4.9989318521683403E-2"/>
        </patternFill>
      </fill>
    </dxf>
    <dxf>
      <fill>
        <patternFill>
          <bgColor theme="0" tint="-4.9989318521683403E-2"/>
        </patternFill>
      </fill>
      <border>
        <vertical/>
        <horizontal/>
      </border>
    </dxf>
    <dxf>
      <fill>
        <patternFill>
          <bgColor theme="0" tint="-4.9989318521683403E-2"/>
        </patternFill>
      </fill>
      <border>
        <vertical/>
        <horizontal/>
      </border>
    </dxf>
    <dxf>
      <fill>
        <patternFill>
          <bgColor theme="0" tint="-4.9989318521683403E-2"/>
        </patternFill>
      </fill>
    </dxf>
    <dxf>
      <fill>
        <patternFill>
          <bgColor theme="0" tint="-4.9989318521683403E-2"/>
        </patternFill>
      </fill>
      <border>
        <vertical/>
        <horizontal/>
      </border>
    </dxf>
    <dxf>
      <fill>
        <patternFill>
          <bgColor theme="0" tint="-4.9989318521683403E-2"/>
        </patternFill>
      </fill>
    </dxf>
    <dxf>
      <fill>
        <patternFill>
          <bgColor theme="0" tint="-4.9989318521683403E-2"/>
        </patternFill>
      </fill>
    </dxf>
    <dxf>
      <fill>
        <patternFill>
          <bgColor theme="0" tint="-4.9989318521683403E-2"/>
        </patternFill>
      </fill>
      <border>
        <vertical/>
        <horizontal/>
      </border>
    </dxf>
    <dxf>
      <font>
        <color rgb="FF9C0006"/>
      </font>
    </dxf>
    <dxf>
      <font>
        <color rgb="FF9C0006"/>
      </font>
    </dxf>
    <dxf>
      <font>
        <color rgb="FF9C0006"/>
      </font>
    </dxf>
    <dxf>
      <font>
        <color rgb="FF9C0006"/>
      </font>
    </dxf>
    <dxf>
      <font>
        <color rgb="FF9C0006"/>
      </font>
    </dxf>
    <dxf>
      <font>
        <color rgb="FF9C0006"/>
      </font>
    </dxf>
    <dxf>
      <font>
        <color theme="0"/>
      </font>
    </dxf>
    <dxf>
      <font>
        <color rgb="FF9C0006"/>
      </font>
    </dxf>
    <dxf>
      <font>
        <color theme="0"/>
      </font>
    </dxf>
    <dxf>
      <font>
        <color rgb="FF9C0006"/>
      </font>
    </dxf>
    <dxf>
      <font>
        <color theme="0"/>
      </font>
    </dxf>
    <dxf>
      <font>
        <b/>
        <i val="0"/>
        <color rgb="FFFF0000"/>
      </font>
    </dxf>
    <dxf>
      <font>
        <color rgb="FF9C0006"/>
      </font>
    </dxf>
    <dxf>
      <font>
        <color rgb="FF9C0006"/>
      </font>
      <fill>
        <patternFill>
          <bgColor rgb="FFFFC7CE"/>
        </patternFill>
      </fill>
    </dxf>
    <dxf>
      <font>
        <color theme="0"/>
      </font>
    </dxf>
    <dxf>
      <font>
        <color rgb="FF9C0006"/>
      </font>
      <fill>
        <patternFill>
          <bgColor rgb="FFFFC7CE"/>
        </patternFill>
      </fill>
    </dxf>
    <dxf>
      <font>
        <b/>
        <i val="0"/>
        <color rgb="FFFF0000"/>
      </font>
    </dxf>
    <dxf>
      <font>
        <color rgb="FF9C0006"/>
      </font>
    </dxf>
    <dxf>
      <font>
        <color rgb="FF9C0006"/>
      </font>
    </dxf>
    <dxf>
      <font>
        <color rgb="FF9C0006"/>
      </font>
      <fill>
        <patternFill>
          <bgColor rgb="FFFFC7CE"/>
        </patternFill>
      </fill>
    </dxf>
    <dxf>
      <font>
        <b/>
        <i val="0"/>
        <color rgb="FFFF0000"/>
      </font>
    </dxf>
    <dxf>
      <font>
        <color theme="0"/>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font>
    </dxf>
    <dxf>
      <font>
        <b/>
        <i val="0"/>
        <color rgb="FFFF0000"/>
      </font>
    </dxf>
    <dxf>
      <font>
        <color rgb="FF9C0006"/>
      </font>
    </dxf>
    <dxf>
      <font>
        <color rgb="FF9C0006"/>
      </font>
      <fill>
        <patternFill>
          <bgColor rgb="FFFFC7CE"/>
        </patternFill>
      </fill>
    </dxf>
    <dxf>
      <font>
        <color theme="0"/>
      </font>
    </dxf>
    <dxf>
      <font>
        <b/>
        <i val="0"/>
        <color rgb="FFFF0000"/>
      </font>
    </dxf>
    <dxf>
      <font>
        <color rgb="FF9C0006"/>
      </font>
    </dxf>
    <dxf>
      <font>
        <color rgb="FF9C0006"/>
      </font>
      <fill>
        <patternFill>
          <bgColor rgb="FFFFC7CE"/>
        </patternFill>
      </fill>
    </dxf>
    <dxf>
      <font>
        <color theme="0"/>
      </font>
    </dxf>
    <dxf>
      <font>
        <color theme="0"/>
      </font>
    </dxf>
    <dxf>
      <font>
        <color theme="0"/>
      </font>
    </dxf>
    <dxf>
      <font>
        <color theme="0"/>
      </font>
    </dxf>
    <dxf>
      <font>
        <color theme="0"/>
      </font>
    </dxf>
    <dxf>
      <font>
        <color theme="0"/>
      </font>
    </dxf>
    <dxf>
      <font>
        <color theme="0"/>
      </font>
    </dxf>
    <dxf>
      <font>
        <color rgb="FF9C0006"/>
      </font>
    </dxf>
    <dxf>
      <font>
        <color rgb="FF9C0006"/>
      </font>
      <fill>
        <patternFill>
          <bgColor rgb="FFFFC7CE"/>
        </patternFill>
      </fill>
    </dxf>
    <dxf>
      <font>
        <b/>
        <i val="0"/>
        <color rgb="FFFF000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dxf>
    <dxf>
      <font>
        <b/>
        <i val="0"/>
        <color rgb="FFFF0000"/>
      </font>
    </dxf>
    <dxf>
      <font>
        <b/>
        <i val="0"/>
        <color rgb="FFFF0000"/>
      </font>
    </dxf>
    <dxf>
      <font>
        <color rgb="FF9C0006"/>
      </font>
      <fill>
        <patternFill>
          <bgColor rgb="FFFFC7CE"/>
        </patternFill>
      </fill>
    </dxf>
    <dxf>
      <font>
        <color rgb="FF9C0006"/>
      </font>
    </dxf>
    <dxf>
      <font>
        <color theme="0" tint="-0.24994659260841701"/>
      </font>
    </dxf>
    <dxf>
      <font>
        <b/>
        <i val="0"/>
        <color rgb="FFFF0000"/>
      </font>
    </dxf>
    <dxf>
      <font>
        <color rgb="FF9C0006"/>
      </font>
    </dxf>
    <dxf>
      <font>
        <color rgb="FF9C0006"/>
      </font>
      <fill>
        <patternFill>
          <bgColor rgb="FFFFC7CE"/>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trlProps/ctrlProp1.xml><?xml version="1.0" encoding="utf-8"?>
<formControlPr xmlns="http://schemas.microsoft.com/office/spreadsheetml/2009/9/main" objectType="Drop" dropLines="6" dropStyle="combo" dx="16" fmlaLink="#REF!" fmlaRange="#REF!" noThreeD="1" sel="0" val="0"/>
</file>

<file path=xl/ctrlProps/ctrlProp2.xml><?xml version="1.0" encoding="utf-8"?>
<formControlPr xmlns="http://schemas.microsoft.com/office/spreadsheetml/2009/9/main" objectType="Drop" dropLines="6" dropStyle="combo" dx="16" fmlaLink="#REF!" fmlaRange="#REF!" noThreeD="1" sel="0"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717550</xdr:colOff>
          <xdr:row>49</xdr:row>
          <xdr:rowOff>107950</xdr:rowOff>
        </xdr:from>
        <xdr:to>
          <xdr:col>4</xdr:col>
          <xdr:colOff>38100</xdr:colOff>
          <xdr:row>50</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717550</xdr:colOff>
          <xdr:row>49</xdr:row>
          <xdr:rowOff>107950</xdr:rowOff>
        </xdr:from>
        <xdr:to>
          <xdr:col>4</xdr:col>
          <xdr:colOff>38100</xdr:colOff>
          <xdr:row>50</xdr:row>
          <xdr:rowOff>38100</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xdr:twoCellAnchor>
    </mc:Choice>
    <mc:Fallback/>
  </mc:AlternateContent>
</xdr:wsDr>
</file>

<file path=xl/theme/theme1.xml><?xml version="1.0" encoding="utf-8"?>
<a:theme xmlns:a="http://schemas.openxmlformats.org/drawingml/2006/main" name="우리회계법인">
  <a:themeElements>
    <a:clrScheme name="우리회계법인1">
      <a:dk1>
        <a:sysClr val="windowText" lastClr="000000"/>
      </a:dk1>
      <a:lt1>
        <a:sysClr val="window" lastClr="FFFFFF"/>
      </a:lt1>
      <a:dk2>
        <a:srgbClr val="632E62"/>
      </a:dk2>
      <a:lt2>
        <a:srgbClr val="EAE5EB"/>
      </a:lt2>
      <a:accent1>
        <a:srgbClr val="481A18"/>
      </a:accent1>
      <a:accent2>
        <a:srgbClr val="632523"/>
      </a:accent2>
      <a:accent3>
        <a:srgbClr val="953735"/>
      </a:accent3>
      <a:accent4>
        <a:srgbClr val="C0504D"/>
      </a:accent4>
      <a:accent5>
        <a:srgbClr val="BFBFBF"/>
      </a:accent5>
      <a:accent6>
        <a:srgbClr val="5982DB"/>
      </a:accent6>
      <a:hlink>
        <a:srgbClr val="0066FF"/>
      </a:hlink>
      <a:folHlink>
        <a:srgbClr val="00B05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mailto:hbeak@deloitte.com" TargetMode="External"/><Relationship Id="rId2" Type="http://schemas.openxmlformats.org/officeDocument/2006/relationships/hyperlink" Target="mailto:seungyjung@deloitte.com" TargetMode="External"/><Relationship Id="rId1" Type="http://schemas.openxmlformats.org/officeDocument/2006/relationships/hyperlink" Target="mailto:hbeak@deloitte.com" TargetMode="External"/><Relationship Id="rId6" Type="http://schemas.openxmlformats.org/officeDocument/2006/relationships/hyperlink" Target="mailto:taehylee@deloitte.com" TargetMode="External"/><Relationship Id="rId5" Type="http://schemas.openxmlformats.org/officeDocument/2006/relationships/hyperlink" Target="mailto:gwajang@deloitte.com" TargetMode="External"/><Relationship Id="rId4" Type="http://schemas.openxmlformats.org/officeDocument/2006/relationships/hyperlink" Target="mailto:hbeak@deloitt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J45"/>
  <sheetViews>
    <sheetView showGridLines="0" view="pageBreakPreview" topLeftCell="A13" zoomScale="85" zoomScaleNormal="115" zoomScaleSheetLayoutView="85" workbookViewId="0">
      <selection activeCell="H39" sqref="H39"/>
    </sheetView>
  </sheetViews>
  <sheetFormatPr defaultColWidth="9" defaultRowHeight="16" x14ac:dyDescent="0.25"/>
  <cols>
    <col min="1" max="1" width="3.33203125" style="258" customWidth="1"/>
    <col min="2" max="3" width="2.33203125" style="258" customWidth="1"/>
    <col min="4" max="4" width="9" style="258"/>
    <col min="5" max="5" width="19.33203125" style="258" customWidth="1"/>
    <col min="6" max="6" width="25.33203125" style="258" customWidth="1"/>
    <col min="7" max="7" width="3.33203125" style="258" customWidth="1"/>
    <col min="8" max="8" width="39.08203125" style="258" customWidth="1"/>
    <col min="9" max="10" width="9" style="258"/>
    <col min="11" max="11" width="2.33203125" style="258" customWidth="1"/>
    <col min="12" max="16384" width="9" style="258"/>
  </cols>
  <sheetData>
    <row r="2" spans="2:10" x14ac:dyDescent="0.25">
      <c r="B2" s="309" t="s">
        <v>376</v>
      </c>
      <c r="C2" s="309"/>
      <c r="D2" s="310"/>
      <c r="E2" s="310"/>
      <c r="F2" s="310"/>
      <c r="G2" s="310"/>
      <c r="H2" s="310"/>
      <c r="I2" s="310"/>
      <c r="J2" s="257"/>
    </row>
    <row r="3" spans="2:10" ht="5.25" customHeight="1" x14ac:dyDescent="0.25">
      <c r="B3" s="309"/>
      <c r="C3" s="309"/>
      <c r="D3" s="310"/>
      <c r="E3" s="310"/>
      <c r="F3" s="310"/>
      <c r="G3" s="310"/>
      <c r="H3" s="310"/>
      <c r="I3" s="310"/>
      <c r="J3" s="257"/>
    </row>
    <row r="4" spans="2:10" x14ac:dyDescent="0.25">
      <c r="B4" s="309" t="s">
        <v>236</v>
      </c>
      <c r="C4" s="309"/>
      <c r="D4" s="310"/>
      <c r="E4" s="310"/>
      <c r="F4" s="310"/>
      <c r="G4" s="310"/>
      <c r="H4" s="310"/>
      <c r="I4" s="310"/>
      <c r="J4" s="257"/>
    </row>
    <row r="7" spans="2:10" x14ac:dyDescent="0.25">
      <c r="C7" s="259" t="s">
        <v>237</v>
      </c>
    </row>
    <row r="8" spans="2:10" ht="6.75" customHeight="1" x14ac:dyDescent="0.25"/>
    <row r="9" spans="2:10" ht="36" customHeight="1" x14ac:dyDescent="0.25">
      <c r="D9" s="360" t="s">
        <v>238</v>
      </c>
      <c r="E9" s="360"/>
      <c r="F9" s="360"/>
      <c r="G9" s="360"/>
      <c r="H9" s="360"/>
    </row>
    <row r="12" spans="2:10" x14ac:dyDescent="0.25">
      <c r="C12" s="260" t="s">
        <v>239</v>
      </c>
      <c r="D12" s="261"/>
    </row>
    <row r="13" spans="2:10" ht="6.75" customHeight="1" x14ac:dyDescent="0.25">
      <c r="C13" s="261"/>
      <c r="D13" s="261"/>
    </row>
    <row r="14" spans="2:10" x14ac:dyDescent="0.25">
      <c r="C14" s="261"/>
      <c r="D14" s="261" t="s">
        <v>240</v>
      </c>
    </row>
    <row r="15" spans="2:10" x14ac:dyDescent="0.25">
      <c r="C15" s="261"/>
      <c r="D15" s="261"/>
    </row>
    <row r="16" spans="2:10" x14ac:dyDescent="0.25">
      <c r="C16" s="261"/>
      <c r="D16" s="261"/>
    </row>
    <row r="17" spans="3:8" x14ac:dyDescent="0.25">
      <c r="C17" s="260" t="s">
        <v>241</v>
      </c>
      <c r="D17" s="261"/>
    </row>
    <row r="18" spans="3:8" ht="6.75" customHeight="1" x14ac:dyDescent="0.25"/>
    <row r="19" spans="3:8" x14ac:dyDescent="0.25">
      <c r="D19" s="358" t="s">
        <v>146</v>
      </c>
      <c r="E19" s="358"/>
      <c r="F19" s="358"/>
      <c r="H19" s="262" t="s">
        <v>147</v>
      </c>
    </row>
    <row r="20" spans="3:8" ht="10.5" customHeight="1" x14ac:dyDescent="0.25">
      <c r="D20" s="263"/>
      <c r="E20" s="263"/>
      <c r="F20" s="263"/>
      <c r="H20" s="263"/>
    </row>
    <row r="21" spans="3:8" x14ac:dyDescent="0.25">
      <c r="D21" s="264" t="s">
        <v>242</v>
      </c>
      <c r="E21" s="265" t="s">
        <v>243</v>
      </c>
      <c r="F21" s="266"/>
      <c r="G21" s="266"/>
      <c r="H21" s="266"/>
    </row>
    <row r="22" spans="3:8" x14ac:dyDescent="0.25">
      <c r="D22" s="266"/>
      <c r="E22" s="266"/>
      <c r="F22" s="266"/>
      <c r="G22" s="266"/>
      <c r="H22" s="267"/>
    </row>
    <row r="23" spans="3:8" x14ac:dyDescent="0.25">
      <c r="D23" s="268"/>
      <c r="E23" s="266" t="s">
        <v>244</v>
      </c>
      <c r="F23" s="266"/>
      <c r="G23" s="266"/>
      <c r="H23" s="269" t="s">
        <v>245</v>
      </c>
    </row>
    <row r="24" spans="3:8" x14ac:dyDescent="0.25">
      <c r="D24" s="268"/>
      <c r="E24" s="266" t="s">
        <v>246</v>
      </c>
      <c r="F24" s="266"/>
      <c r="G24" s="266"/>
      <c r="H24" s="269" t="s">
        <v>247</v>
      </c>
    </row>
    <row r="25" spans="3:8" x14ac:dyDescent="0.25">
      <c r="D25" s="268"/>
      <c r="E25" s="266"/>
      <c r="F25" s="266"/>
      <c r="G25" s="266"/>
      <c r="H25" s="269" t="s">
        <v>248</v>
      </c>
    </row>
    <row r="26" spans="3:8" x14ac:dyDescent="0.25">
      <c r="D26" s="268"/>
      <c r="E26" s="270"/>
      <c r="F26" s="270"/>
      <c r="G26" s="270"/>
      <c r="H26" s="269" t="s">
        <v>249</v>
      </c>
    </row>
    <row r="27" spans="3:8" x14ac:dyDescent="0.25">
      <c r="D27" s="268"/>
      <c r="E27" s="270"/>
      <c r="F27" s="270"/>
      <c r="G27" s="270"/>
      <c r="H27" s="269" t="s">
        <v>250</v>
      </c>
    </row>
    <row r="28" spans="3:8" x14ac:dyDescent="0.25">
      <c r="D28" s="268"/>
      <c r="E28" s="270"/>
      <c r="F28" s="270"/>
      <c r="G28" s="270"/>
      <c r="H28" s="269"/>
    </row>
    <row r="29" spans="3:8" x14ac:dyDescent="0.25">
      <c r="D29" s="268"/>
      <c r="E29" s="270"/>
      <c r="F29" s="270"/>
      <c r="G29" s="270"/>
      <c r="H29" s="269"/>
    </row>
    <row r="30" spans="3:8" x14ac:dyDescent="0.25">
      <c r="D30" s="268"/>
      <c r="E30" s="270"/>
      <c r="F30" s="270"/>
      <c r="G30" s="270"/>
      <c r="H30" s="269"/>
    </row>
    <row r="31" spans="3:8" x14ac:dyDescent="0.25">
      <c r="D31" s="264" t="s">
        <v>251</v>
      </c>
      <c r="E31" s="271" t="s">
        <v>252</v>
      </c>
      <c r="F31" s="270"/>
      <c r="G31" s="270"/>
      <c r="H31" s="272"/>
    </row>
    <row r="32" spans="3:8" x14ac:dyDescent="0.25">
      <c r="D32" s="268"/>
      <c r="E32" s="270"/>
      <c r="F32" s="270"/>
      <c r="G32" s="270"/>
      <c r="H32" s="272"/>
    </row>
    <row r="33" spans="4:8" x14ac:dyDescent="0.25">
      <c r="D33" s="268"/>
      <c r="E33" s="266"/>
      <c r="F33" s="266"/>
      <c r="G33" s="270"/>
      <c r="H33" s="269"/>
    </row>
    <row r="34" spans="4:8" x14ac:dyDescent="0.25">
      <c r="D34" s="268"/>
      <c r="E34" s="266" t="s">
        <v>253</v>
      </c>
      <c r="F34" s="266"/>
      <c r="G34" s="270"/>
      <c r="H34" s="269" t="s">
        <v>247</v>
      </c>
    </row>
    <row r="35" spans="4:8" x14ac:dyDescent="0.25">
      <c r="D35" s="266"/>
      <c r="E35" s="270"/>
      <c r="F35" s="270"/>
      <c r="G35" s="270"/>
      <c r="H35" s="269" t="s">
        <v>248</v>
      </c>
    </row>
    <row r="36" spans="4:8" x14ac:dyDescent="0.25">
      <c r="D36" s="266"/>
      <c r="E36" s="270"/>
      <c r="F36" s="270"/>
      <c r="G36" s="270"/>
      <c r="H36" s="269" t="s">
        <v>249</v>
      </c>
    </row>
    <row r="37" spans="4:8" x14ac:dyDescent="0.25">
      <c r="D37" s="266"/>
      <c r="E37" s="270"/>
      <c r="F37" s="270"/>
      <c r="G37" s="270"/>
      <c r="H37" s="269" t="s">
        <v>250</v>
      </c>
    </row>
    <row r="38" spans="4:8" x14ac:dyDescent="0.25">
      <c r="D38" s="266"/>
      <c r="E38" s="270"/>
      <c r="F38" s="270"/>
      <c r="G38" s="270"/>
      <c r="H38" s="269"/>
    </row>
    <row r="39" spans="4:8" x14ac:dyDescent="0.25">
      <c r="D39" s="264" t="s">
        <v>254</v>
      </c>
      <c r="E39" s="273" t="s">
        <v>255</v>
      </c>
      <c r="F39" s="270"/>
      <c r="G39" s="270"/>
      <c r="H39" s="269" t="s">
        <v>220</v>
      </c>
    </row>
    <row r="40" spans="4:8" x14ac:dyDescent="0.25">
      <c r="D40" s="266"/>
      <c r="E40" s="270"/>
      <c r="F40" s="270"/>
      <c r="G40" s="270"/>
    </row>
    <row r="41" spans="4:8" x14ac:dyDescent="0.25">
      <c r="D41" s="266"/>
      <c r="E41" s="270"/>
      <c r="F41" s="270"/>
      <c r="G41" s="270"/>
      <c r="H41" s="269"/>
    </row>
    <row r="42" spans="4:8" x14ac:dyDescent="0.25">
      <c r="D42" s="266"/>
      <c r="E42" s="270"/>
      <c r="F42" s="270"/>
      <c r="G42" s="270"/>
      <c r="H42" s="269"/>
    </row>
    <row r="43" spans="4:8" x14ac:dyDescent="0.25">
      <c r="D43" s="266"/>
      <c r="E43" s="270"/>
      <c r="F43" s="270"/>
      <c r="G43" s="270"/>
      <c r="H43" s="269"/>
    </row>
    <row r="44" spans="4:8" ht="5.25" customHeight="1" x14ac:dyDescent="0.25">
      <c r="D44" s="359"/>
      <c r="E44" s="359"/>
      <c r="F44" s="359"/>
      <c r="H44" s="274"/>
    </row>
    <row r="45" spans="4:8" x14ac:dyDescent="0.25">
      <c r="D45" s="263"/>
      <c r="E45" s="263"/>
      <c r="F45" s="263"/>
      <c r="H45" s="263"/>
    </row>
  </sheetData>
  <mergeCells count="3">
    <mergeCell ref="D19:F19"/>
    <mergeCell ref="D44:F44"/>
    <mergeCell ref="D9:H9"/>
  </mergeCells>
  <phoneticPr fontId="9" type="noConversion"/>
  <hyperlinks>
    <hyperlink ref="H23" location="'1. 중요성 기준'!A1" display="1.1 중요성 기준" xr:uid="{00000000-0004-0000-0000-000000000000}"/>
    <hyperlink ref="H34" location="'2.1 유의한 계정과목(BS)'!A1" display="2.1 유의한 계정과목 (BS)" xr:uid="{00000000-0004-0000-0000-000001000000}"/>
    <hyperlink ref="H35" location="'2.2 유의한 계정과목(PL)'!A1" display="2.2 유의한 계정과목 (PL)" xr:uid="{00000000-0004-0000-0000-000002000000}"/>
    <hyperlink ref="H36" location="'2.3 유의한 주석'!A1" display="2.3 유의한 주석" xr:uid="{00000000-0004-0000-0000-000003000000}"/>
    <hyperlink ref="H37" location="'2.4 유의한 영업현금 관련항목 '!A1" display="2.4 유의한 영업현금 관련항목" xr:uid="{00000000-0004-0000-0000-000004000000}"/>
    <hyperlink ref="H24" location="'2.1 유의한 계정과목(BS)'!A1" display="2.1 유의한 계정과목 (BS)" xr:uid="{00000000-0004-0000-0000-000005000000}"/>
    <hyperlink ref="H25" location="'2.2 유의한 계정과목(PL)'!A1" display="2.2 유의한 계정과목 (PL)" xr:uid="{00000000-0004-0000-0000-000006000000}"/>
    <hyperlink ref="H26" location="'2.3 유의한 주석'!A1" display="2.3 유의한 주석" xr:uid="{00000000-0004-0000-0000-000007000000}"/>
    <hyperlink ref="H27" location="'2.4 유의한 영업현금 관련항목 '!A1" display="2.4 유의한 영업현금 관련항목" xr:uid="{00000000-0004-0000-0000-000008000000}"/>
  </hyperlinks>
  <pageMargins left="0.7" right="0.7" top="0.75" bottom="0.75" header="0.3" footer="0.3"/>
  <pageSetup paperSize="9" scale="58"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1"/>
  </sheetPr>
  <dimension ref="B2:M126"/>
  <sheetViews>
    <sheetView showGridLines="0" tabSelected="1" zoomScale="85" zoomScaleNormal="85" zoomScaleSheetLayoutView="90" workbookViewId="0">
      <selection activeCell="M134" sqref="M134"/>
    </sheetView>
  </sheetViews>
  <sheetFormatPr defaultColWidth="9" defaultRowHeight="12.5" x14ac:dyDescent="0.25"/>
  <cols>
    <col min="1" max="1" width="3.33203125" style="4" customWidth="1"/>
    <col min="2" max="3" width="1.33203125" style="4" customWidth="1"/>
    <col min="4" max="5" width="15.33203125" style="4" customWidth="1"/>
    <col min="6" max="7" width="18.83203125" style="4" customWidth="1"/>
    <col min="8" max="8" width="18.83203125" style="5" customWidth="1"/>
    <col min="9" max="12" width="18.83203125" style="4" customWidth="1"/>
    <col min="13" max="13" width="32" style="4" customWidth="1"/>
    <col min="14" max="14" width="9.33203125" style="4" customWidth="1"/>
    <col min="15" max="16" width="9" style="4"/>
    <col min="17" max="17" width="2.33203125" style="4" customWidth="1"/>
    <col min="18" max="18" width="9" style="4"/>
    <col min="19" max="19" width="13.33203125" style="4" bestFit="1" customWidth="1"/>
    <col min="20" max="16384" width="9" style="4"/>
  </cols>
  <sheetData>
    <row r="2" spans="2:13" x14ac:dyDescent="0.25">
      <c r="B2" s="1" t="s">
        <v>0</v>
      </c>
      <c r="C2" s="1"/>
      <c r="D2" s="2"/>
      <c r="E2" s="2"/>
      <c r="F2" s="2"/>
      <c r="G2" s="2"/>
      <c r="H2" s="3"/>
      <c r="I2" s="2"/>
      <c r="J2" s="2"/>
      <c r="K2" s="2"/>
      <c r="L2" s="2"/>
      <c r="M2" s="2"/>
    </row>
    <row r="4" spans="2:13" ht="16" x14ac:dyDescent="0.45">
      <c r="C4" s="116" t="s">
        <v>120</v>
      </c>
      <c r="D4" s="117"/>
    </row>
    <row r="5" spans="2:13" x14ac:dyDescent="0.25">
      <c r="C5" s="116"/>
    </row>
    <row r="6" spans="2:13" x14ac:dyDescent="0.25">
      <c r="D6" s="118" t="s">
        <v>192</v>
      </c>
      <c r="E6" s="102"/>
      <c r="F6" s="102"/>
      <c r="G6" s="102"/>
      <c r="H6" s="103"/>
      <c r="I6" s="102"/>
      <c r="J6" s="102"/>
      <c r="K6" s="102"/>
      <c r="L6" s="102"/>
      <c r="M6" s="104"/>
    </row>
    <row r="7" spans="2:13" ht="12" customHeight="1" x14ac:dyDescent="0.25">
      <c r="D7" s="119" t="s">
        <v>162</v>
      </c>
      <c r="E7" s="105"/>
      <c r="F7" s="105"/>
      <c r="G7" s="105"/>
      <c r="H7" s="106"/>
      <c r="I7" s="105"/>
      <c r="J7" s="105"/>
      <c r="K7" s="105"/>
      <c r="L7" s="105"/>
      <c r="M7" s="107"/>
    </row>
    <row r="8" spans="2:13" ht="7.5" customHeight="1" x14ac:dyDescent="0.25">
      <c r="D8" s="108"/>
      <c r="E8" s="109"/>
      <c r="F8" s="109"/>
      <c r="G8" s="109"/>
      <c r="H8" s="110"/>
      <c r="I8" s="109"/>
      <c r="J8" s="109"/>
      <c r="K8" s="109"/>
      <c r="L8" s="109"/>
      <c r="M8" s="111"/>
    </row>
    <row r="9" spans="2:13" x14ac:dyDescent="0.25">
      <c r="D9" s="120" t="s">
        <v>185</v>
      </c>
      <c r="E9" s="109"/>
      <c r="F9" s="109"/>
      <c r="G9" s="109"/>
      <c r="H9" s="110"/>
      <c r="I9" s="109"/>
      <c r="J9" s="109"/>
      <c r="K9" s="109"/>
      <c r="L9" s="109"/>
      <c r="M9" s="111"/>
    </row>
    <row r="10" spans="2:13" x14ac:dyDescent="0.25">
      <c r="D10" s="120" t="s">
        <v>1</v>
      </c>
      <c r="E10" s="109"/>
      <c r="F10" s="109"/>
      <c r="G10" s="109"/>
      <c r="H10" s="110"/>
      <c r="I10" s="109"/>
      <c r="J10" s="109"/>
      <c r="K10" s="109"/>
      <c r="L10" s="109"/>
      <c r="M10" s="111"/>
    </row>
    <row r="11" spans="2:13" x14ac:dyDescent="0.25">
      <c r="D11" s="120" t="s">
        <v>2</v>
      </c>
      <c r="E11" s="109"/>
      <c r="F11" s="109"/>
      <c r="G11" s="109"/>
      <c r="H11" s="110"/>
      <c r="I11" s="109"/>
      <c r="J11" s="109"/>
      <c r="K11" s="109"/>
      <c r="L11" s="109"/>
      <c r="M11" s="111"/>
    </row>
    <row r="12" spans="2:13" x14ac:dyDescent="0.25">
      <c r="D12" s="120" t="s">
        <v>3</v>
      </c>
      <c r="E12" s="109"/>
      <c r="F12" s="109"/>
      <c r="G12" s="109"/>
      <c r="H12" s="110"/>
      <c r="I12" s="109"/>
      <c r="J12" s="109"/>
      <c r="K12" s="109"/>
      <c r="L12" s="109"/>
      <c r="M12" s="111"/>
    </row>
    <row r="13" spans="2:13" x14ac:dyDescent="0.25">
      <c r="D13" s="120" t="s">
        <v>4</v>
      </c>
      <c r="E13" s="109"/>
      <c r="F13" s="109"/>
      <c r="G13" s="109"/>
      <c r="H13" s="110"/>
      <c r="I13" s="109"/>
      <c r="J13" s="109"/>
      <c r="K13" s="109"/>
      <c r="L13" s="109"/>
      <c r="M13" s="111"/>
    </row>
    <row r="14" spans="2:13" x14ac:dyDescent="0.25">
      <c r="D14" s="120" t="s">
        <v>5</v>
      </c>
      <c r="E14" s="109"/>
      <c r="F14" s="109"/>
      <c r="G14" s="109"/>
      <c r="H14" s="110"/>
      <c r="I14" s="109"/>
      <c r="J14" s="109"/>
      <c r="K14" s="109"/>
      <c r="L14" s="109"/>
      <c r="M14" s="111"/>
    </row>
    <row r="15" spans="2:13" x14ac:dyDescent="0.25">
      <c r="D15" s="121" t="s">
        <v>6</v>
      </c>
      <c r="E15" s="112"/>
      <c r="F15" s="112"/>
      <c r="G15" s="112"/>
      <c r="H15" s="113"/>
      <c r="I15" s="112"/>
      <c r="J15" s="112"/>
      <c r="K15" s="112"/>
      <c r="L15" s="112"/>
      <c r="M15" s="114"/>
    </row>
    <row r="16" spans="2:13" x14ac:dyDescent="0.25">
      <c r="D16" s="122"/>
      <c r="E16" s="15"/>
      <c r="F16" s="15"/>
      <c r="G16" s="15"/>
      <c r="H16" s="115"/>
      <c r="I16" s="15"/>
      <c r="J16" s="15"/>
      <c r="K16" s="15"/>
      <c r="L16" s="15"/>
      <c r="M16" s="15"/>
    </row>
    <row r="17" spans="4:13" x14ac:dyDescent="0.25">
      <c r="D17" s="118" t="s">
        <v>191</v>
      </c>
      <c r="E17" s="102"/>
      <c r="F17" s="102"/>
      <c r="G17" s="102"/>
      <c r="H17" s="103"/>
      <c r="I17" s="102"/>
      <c r="J17" s="102"/>
      <c r="K17" s="102"/>
      <c r="L17" s="102"/>
      <c r="M17" s="104"/>
    </row>
    <row r="18" spans="4:13" x14ac:dyDescent="0.25">
      <c r="D18" s="119" t="s">
        <v>189</v>
      </c>
      <c r="E18" s="105"/>
      <c r="F18" s="105"/>
      <c r="G18" s="105"/>
      <c r="H18" s="106"/>
      <c r="I18" s="105"/>
      <c r="J18" s="105"/>
      <c r="K18" s="105"/>
      <c r="L18" s="105"/>
      <c r="M18" s="107"/>
    </row>
    <row r="19" spans="4:13" x14ac:dyDescent="0.25">
      <c r="D19" s="120" t="s">
        <v>188</v>
      </c>
      <c r="E19" s="109"/>
      <c r="F19" s="109"/>
      <c r="G19" s="109"/>
      <c r="H19" s="110"/>
      <c r="I19" s="109"/>
      <c r="J19" s="109"/>
      <c r="K19" s="109"/>
      <c r="L19" s="109"/>
      <c r="M19" s="111"/>
    </row>
    <row r="20" spans="4:13" x14ac:dyDescent="0.25">
      <c r="D20" s="120" t="s">
        <v>177</v>
      </c>
      <c r="E20" s="109"/>
      <c r="F20" s="109"/>
      <c r="G20" s="109"/>
      <c r="H20" s="110"/>
      <c r="I20" s="109"/>
      <c r="J20" s="109"/>
      <c r="K20" s="109"/>
      <c r="L20" s="109"/>
      <c r="M20" s="111"/>
    </row>
    <row r="21" spans="4:13" x14ac:dyDescent="0.25">
      <c r="D21" s="120" t="s">
        <v>178</v>
      </c>
      <c r="E21" s="109"/>
      <c r="F21" s="109"/>
      <c r="G21" s="109"/>
      <c r="H21" s="110"/>
      <c r="I21" s="109"/>
      <c r="J21" s="109"/>
      <c r="K21" s="109"/>
      <c r="L21" s="109"/>
      <c r="M21" s="111"/>
    </row>
    <row r="22" spans="4:13" x14ac:dyDescent="0.25">
      <c r="D22" s="120" t="s">
        <v>181</v>
      </c>
      <c r="E22" s="109"/>
      <c r="F22" s="109"/>
      <c r="G22" s="109"/>
      <c r="H22" s="110"/>
      <c r="I22" s="109"/>
      <c r="J22" s="109"/>
      <c r="K22" s="109"/>
      <c r="L22" s="109"/>
      <c r="M22" s="111"/>
    </row>
    <row r="23" spans="4:13" x14ac:dyDescent="0.25">
      <c r="D23" s="120"/>
      <c r="E23" s="123"/>
      <c r="F23" s="123"/>
      <c r="G23" s="123"/>
      <c r="H23" s="124"/>
      <c r="I23" s="123"/>
      <c r="J23" s="123"/>
      <c r="K23" s="109"/>
      <c r="L23" s="109"/>
      <c r="M23" s="111"/>
    </row>
    <row r="24" spans="4:13" x14ac:dyDescent="0.25">
      <c r="D24" s="120" t="s">
        <v>163</v>
      </c>
      <c r="E24" s="123"/>
      <c r="F24" s="123"/>
      <c r="G24" s="123"/>
      <c r="H24" s="124"/>
      <c r="I24" s="123"/>
      <c r="J24" s="123"/>
      <c r="K24" s="109"/>
      <c r="L24" s="109"/>
      <c r="M24" s="111"/>
    </row>
    <row r="25" spans="4:13" x14ac:dyDescent="0.25">
      <c r="D25" s="108"/>
      <c r="E25" s="123"/>
      <c r="F25" s="123"/>
      <c r="G25" s="123"/>
      <c r="H25" s="124"/>
      <c r="I25" s="123"/>
      <c r="J25" s="123"/>
      <c r="K25" s="109"/>
      <c r="L25" s="109"/>
      <c r="M25" s="111"/>
    </row>
    <row r="26" spans="4:13" x14ac:dyDescent="0.25">
      <c r="D26" s="120" t="s">
        <v>184</v>
      </c>
      <c r="E26" s="123"/>
      <c r="F26" s="123"/>
      <c r="G26" s="123"/>
      <c r="H26" s="124"/>
      <c r="I26" s="123"/>
      <c r="J26" s="123"/>
      <c r="K26" s="109"/>
      <c r="L26" s="109"/>
      <c r="M26" s="111"/>
    </row>
    <row r="27" spans="4:13" x14ac:dyDescent="0.25">
      <c r="D27" s="120" t="s">
        <v>116</v>
      </c>
      <c r="E27" s="123"/>
      <c r="F27" s="123"/>
      <c r="G27" s="123"/>
      <c r="H27" s="124"/>
      <c r="I27" s="123"/>
      <c r="J27" s="123"/>
      <c r="K27" s="109"/>
      <c r="L27" s="109"/>
      <c r="M27" s="111"/>
    </row>
    <row r="28" spans="4:13" x14ac:dyDescent="0.25">
      <c r="D28" s="120" t="s">
        <v>117</v>
      </c>
      <c r="E28" s="123"/>
      <c r="F28" s="123"/>
      <c r="G28" s="123"/>
      <c r="H28" s="124"/>
      <c r="I28" s="123"/>
      <c r="J28" s="123"/>
      <c r="K28" s="109"/>
      <c r="L28" s="109"/>
      <c r="M28" s="111"/>
    </row>
    <row r="29" spans="4:13" x14ac:dyDescent="0.25">
      <c r="D29" s="120" t="s">
        <v>118</v>
      </c>
      <c r="E29" s="123"/>
      <c r="F29" s="123"/>
      <c r="G29" s="123"/>
      <c r="H29" s="124"/>
      <c r="I29" s="123"/>
      <c r="J29" s="123"/>
      <c r="K29" s="109"/>
      <c r="L29" s="109"/>
      <c r="M29" s="111"/>
    </row>
    <row r="30" spans="4:13" x14ac:dyDescent="0.25">
      <c r="D30" s="121" t="s">
        <v>119</v>
      </c>
      <c r="E30" s="125"/>
      <c r="F30" s="125"/>
      <c r="G30" s="125"/>
      <c r="H30" s="126"/>
      <c r="I30" s="125"/>
      <c r="J30" s="125"/>
      <c r="K30" s="112"/>
      <c r="L30" s="112"/>
      <c r="M30" s="114"/>
    </row>
    <row r="31" spans="4:13" x14ac:dyDescent="0.25">
      <c r="D31" s="12"/>
    </row>
    <row r="32" spans="4:13" x14ac:dyDescent="0.25">
      <c r="D32" s="12"/>
    </row>
    <row r="33" spans="3:8" x14ac:dyDescent="0.25">
      <c r="C33" s="7" t="s">
        <v>182</v>
      </c>
      <c r="D33" s="12"/>
    </row>
    <row r="34" spans="3:8" x14ac:dyDescent="0.25">
      <c r="D34" s="12"/>
    </row>
    <row r="35" spans="3:8" x14ac:dyDescent="0.25">
      <c r="D35" s="8" t="s">
        <v>123</v>
      </c>
      <c r="F35" s="9"/>
      <c r="G35" s="127" t="s">
        <v>270</v>
      </c>
      <c r="H35" s="4"/>
    </row>
    <row r="36" spans="3:8" s="7" customFormat="1" x14ac:dyDescent="0.25">
      <c r="D36" s="306" t="s">
        <v>7</v>
      </c>
      <c r="E36" s="306"/>
      <c r="F36" s="307" t="s">
        <v>281</v>
      </c>
      <c r="G36" s="307" t="s">
        <v>282</v>
      </c>
    </row>
    <row r="37" spans="3:8" x14ac:dyDescent="0.25">
      <c r="D37" s="12" t="s">
        <v>8</v>
      </c>
      <c r="F37" s="317">
        <v>11141354865</v>
      </c>
      <c r="G37" s="317">
        <v>8915413700</v>
      </c>
      <c r="H37" s="13" t="s">
        <v>377</v>
      </c>
    </row>
    <row r="38" spans="3:8" x14ac:dyDescent="0.25">
      <c r="D38" s="12" t="s">
        <v>9</v>
      </c>
      <c r="F38" s="317">
        <v>4818843993</v>
      </c>
      <c r="G38" s="317">
        <v>3792692890</v>
      </c>
      <c r="H38" s="4"/>
    </row>
    <row r="39" spans="3:8" x14ac:dyDescent="0.25">
      <c r="D39" s="10" t="s">
        <v>10</v>
      </c>
      <c r="E39" s="10"/>
      <c r="F39" s="318">
        <f>F46</f>
        <v>4818843993</v>
      </c>
      <c r="G39" s="318">
        <f>G46</f>
        <v>3792692890</v>
      </c>
      <c r="H39" s="4"/>
    </row>
    <row r="40" spans="3:8" x14ac:dyDescent="0.25">
      <c r="F40" s="216"/>
      <c r="G40" s="216"/>
      <c r="H40" s="4"/>
    </row>
    <row r="41" spans="3:8" x14ac:dyDescent="0.25">
      <c r="F41" s="216"/>
      <c r="G41" s="216"/>
      <c r="H41" s="4"/>
    </row>
    <row r="42" spans="3:8" x14ac:dyDescent="0.25">
      <c r="D42" s="10" t="s">
        <v>11</v>
      </c>
      <c r="E42" s="10"/>
      <c r="F42" s="319"/>
      <c r="G42" s="319"/>
      <c r="H42" s="4"/>
    </row>
    <row r="43" spans="3:8" x14ac:dyDescent="0.25">
      <c r="D43" s="4" t="s">
        <v>12</v>
      </c>
      <c r="F43" s="317">
        <f>F38</f>
        <v>4818843993</v>
      </c>
      <c r="G43" s="317">
        <f>G38</f>
        <v>3792692890</v>
      </c>
      <c r="H43" s="4"/>
    </row>
    <row r="44" spans="3:8" x14ac:dyDescent="0.25">
      <c r="D44" s="4" t="s">
        <v>13</v>
      </c>
      <c r="F44" s="320"/>
      <c r="G44" s="320"/>
      <c r="H44" s="13" t="s">
        <v>378</v>
      </c>
    </row>
    <row r="45" spans="3:8" x14ac:dyDescent="0.25">
      <c r="D45" s="14"/>
      <c r="F45" s="317"/>
      <c r="G45" s="317"/>
      <c r="H45" s="4"/>
    </row>
    <row r="46" spans="3:8" x14ac:dyDescent="0.25">
      <c r="D46" s="15" t="s">
        <v>14</v>
      </c>
      <c r="E46" s="15"/>
      <c r="F46" s="321">
        <f>SUM(F43:F45)</f>
        <v>4818843993</v>
      </c>
      <c r="G46" s="321">
        <f>G43-SUM(G45:G45)</f>
        <v>3792692890</v>
      </c>
      <c r="H46" s="4"/>
    </row>
    <row r="47" spans="3:8" x14ac:dyDescent="0.25">
      <c r="H47" s="4"/>
    </row>
    <row r="48" spans="3:8" x14ac:dyDescent="0.25">
      <c r="D48" s="9"/>
      <c r="E48" s="9"/>
      <c r="F48" s="12"/>
      <c r="G48" s="9"/>
      <c r="H48" s="13"/>
    </row>
    <row r="49" spans="4:12" x14ac:dyDescent="0.25">
      <c r="D49" s="128" t="s">
        <v>214</v>
      </c>
      <c r="E49" s="9"/>
    </row>
    <row r="50" spans="4:12" s="97" customFormat="1" x14ac:dyDescent="0.25">
      <c r="D50" s="308" t="s">
        <v>121</v>
      </c>
      <c r="E50" s="308"/>
      <c r="F50" s="308" t="s">
        <v>15</v>
      </c>
      <c r="G50" s="308" t="s">
        <v>16</v>
      </c>
      <c r="H50" s="96"/>
    </row>
    <row r="51" spans="4:12" x14ac:dyDescent="0.25">
      <c r="D51" s="12" t="s">
        <v>17</v>
      </c>
      <c r="F51" s="4" t="s">
        <v>18</v>
      </c>
      <c r="G51" s="4" t="s">
        <v>19</v>
      </c>
      <c r="H51" s="16"/>
    </row>
    <row r="52" spans="4:12" x14ac:dyDescent="0.25">
      <c r="D52" s="12" t="s">
        <v>20</v>
      </c>
      <c r="F52" s="12">
        <f>F46</f>
        <v>4818843993</v>
      </c>
      <c r="G52" s="12">
        <f>F37</f>
        <v>11141354865</v>
      </c>
      <c r="H52" s="16"/>
    </row>
    <row r="53" spans="4:12" x14ac:dyDescent="0.25">
      <c r="D53" s="4" t="s">
        <v>21</v>
      </c>
      <c r="F53" s="214">
        <v>0.05</v>
      </c>
      <c r="G53" s="214">
        <v>5.0000000000000001E-3</v>
      </c>
      <c r="H53" s="100" t="str">
        <f>Notes!B4</f>
        <v>Note 1</v>
      </c>
    </row>
    <row r="54" spans="4:12" x14ac:dyDescent="0.25">
      <c r="D54" s="10" t="s">
        <v>22</v>
      </c>
      <c r="E54" s="10"/>
      <c r="F54" s="11">
        <f>ROUND(F52*F53,)</f>
        <v>240942200</v>
      </c>
      <c r="G54" s="11">
        <f>ROUND(G52*G53,)</f>
        <v>55706774</v>
      </c>
      <c r="H54" s="4"/>
    </row>
    <row r="55" spans="4:12" x14ac:dyDescent="0.25">
      <c r="F55" s="12"/>
      <c r="G55" s="12"/>
      <c r="H55" s="4"/>
    </row>
    <row r="56" spans="4:12" x14ac:dyDescent="0.25">
      <c r="D56" s="47" t="s">
        <v>215</v>
      </c>
      <c r="F56" s="12"/>
      <c r="G56" s="12"/>
      <c r="H56" s="4"/>
    </row>
    <row r="57" spans="4:12" x14ac:dyDescent="0.25">
      <c r="F57" s="12"/>
      <c r="G57" s="12"/>
      <c r="H57" s="4"/>
      <c r="L57" s="12"/>
    </row>
    <row r="58" spans="4:12" x14ac:dyDescent="0.25">
      <c r="D58" s="12" t="s">
        <v>171</v>
      </c>
      <c r="E58" s="7"/>
      <c r="G58" s="322">
        <f>ROUND(F54,-3)</f>
        <v>240942000</v>
      </c>
      <c r="H58" s="7" t="s">
        <v>271</v>
      </c>
      <c r="L58" s="129"/>
    </row>
    <row r="59" spans="4:12" x14ac:dyDescent="0.25">
      <c r="D59" s="7"/>
      <c r="E59" s="7"/>
      <c r="G59" s="18"/>
      <c r="H59" s="7"/>
      <c r="J59" s="17"/>
      <c r="L59" s="12"/>
    </row>
    <row r="60" spans="4:12" x14ac:dyDescent="0.25">
      <c r="D60" s="12" t="s">
        <v>122</v>
      </c>
      <c r="E60" s="9"/>
      <c r="G60" s="19">
        <v>0.7</v>
      </c>
      <c r="H60" s="100" t="str">
        <f>Notes!B8</f>
        <v>Note 2</v>
      </c>
      <c r="J60" s="5"/>
      <c r="L60" s="12"/>
    </row>
    <row r="61" spans="4:12" x14ac:dyDescent="0.25">
      <c r="E61" s="8"/>
      <c r="G61" s="20"/>
      <c r="H61" s="4"/>
    </row>
    <row r="62" spans="4:12" x14ac:dyDescent="0.25">
      <c r="D62" s="12" t="s">
        <v>172</v>
      </c>
      <c r="E62" s="9"/>
      <c r="G62" s="323">
        <f>ROUND(G58*G60,)</f>
        <v>168659400</v>
      </c>
      <c r="H62" s="7" t="s">
        <v>271</v>
      </c>
      <c r="I62" s="12"/>
    </row>
    <row r="63" spans="4:12" x14ac:dyDescent="0.25">
      <c r="D63" s="21"/>
      <c r="E63" s="9"/>
      <c r="F63" s="9"/>
      <c r="G63" s="9"/>
      <c r="H63" s="7"/>
    </row>
    <row r="64" spans="4:12" x14ac:dyDescent="0.25">
      <c r="D64" s="21"/>
      <c r="E64" s="9"/>
      <c r="F64" s="9"/>
      <c r="G64" s="9"/>
      <c r="H64" s="13"/>
    </row>
    <row r="65" spans="3:13" x14ac:dyDescent="0.25">
      <c r="D65" s="83" t="s">
        <v>23</v>
      </c>
      <c r="E65" s="84"/>
      <c r="F65" s="85"/>
      <c r="G65" s="85"/>
      <c r="H65" s="86"/>
      <c r="I65" s="87"/>
      <c r="J65" s="85"/>
      <c r="K65" s="86"/>
      <c r="L65" s="87"/>
      <c r="M65" s="88"/>
    </row>
    <row r="66" spans="3:13" x14ac:dyDescent="0.25">
      <c r="D66" s="324" t="s">
        <v>315</v>
      </c>
      <c r="E66" s="8"/>
      <c r="F66" s="9"/>
      <c r="G66" s="9"/>
      <c r="H66" s="89"/>
      <c r="J66" s="9"/>
      <c r="K66" s="89"/>
      <c r="M66" s="90"/>
    </row>
    <row r="67" spans="3:13" x14ac:dyDescent="0.25">
      <c r="D67" s="324" t="s">
        <v>275</v>
      </c>
      <c r="E67" s="8"/>
      <c r="F67" s="9"/>
      <c r="G67" s="9"/>
      <c r="H67" s="89"/>
      <c r="J67" s="9"/>
      <c r="K67" s="89"/>
      <c r="M67" s="90"/>
    </row>
    <row r="68" spans="3:13" x14ac:dyDescent="0.25">
      <c r="D68" s="324" t="s">
        <v>316</v>
      </c>
      <c r="E68" s="8"/>
      <c r="F68" s="9"/>
      <c r="G68" s="9"/>
      <c r="H68" s="89"/>
      <c r="J68" s="9"/>
      <c r="K68" s="89"/>
      <c r="M68" s="90"/>
    </row>
    <row r="69" spans="3:13" x14ac:dyDescent="0.25">
      <c r="D69" s="91"/>
      <c r="E69" s="215"/>
      <c r="F69" s="92"/>
      <c r="G69" s="92"/>
      <c r="H69" s="93"/>
      <c r="I69" s="94"/>
      <c r="J69" s="92"/>
      <c r="K69" s="93"/>
      <c r="L69" s="94"/>
      <c r="M69" s="95"/>
    </row>
    <row r="70" spans="3:13" x14ac:dyDescent="0.25">
      <c r="D70" s="22"/>
      <c r="E70" s="9"/>
      <c r="F70" s="9"/>
      <c r="G70" s="23"/>
      <c r="H70" s="24"/>
    </row>
    <row r="71" spans="3:13" x14ac:dyDescent="0.25">
      <c r="D71" s="22"/>
      <c r="E71" s="9"/>
      <c r="F71" s="9"/>
      <c r="G71" s="23"/>
      <c r="H71" s="24"/>
    </row>
    <row r="72" spans="3:13" x14ac:dyDescent="0.25">
      <c r="C72" s="7" t="s">
        <v>183</v>
      </c>
      <c r="E72" s="7" t="s">
        <v>165</v>
      </c>
      <c r="F72" s="23"/>
      <c r="G72" s="24"/>
      <c r="H72" s="4"/>
    </row>
    <row r="73" spans="3:13" x14ac:dyDescent="0.25">
      <c r="D73" s="25"/>
      <c r="E73" s="8"/>
      <c r="F73" s="9"/>
      <c r="G73" s="9"/>
    </row>
    <row r="74" spans="3:13" x14ac:dyDescent="0.25">
      <c r="D74" s="7"/>
      <c r="E74" s="9"/>
      <c r="F74" s="9"/>
      <c r="G74" s="9"/>
    </row>
    <row r="75" spans="3:13" x14ac:dyDescent="0.25">
      <c r="D75" s="9" t="s">
        <v>164</v>
      </c>
      <c r="E75" s="9"/>
      <c r="F75" s="9"/>
      <c r="G75" s="9"/>
    </row>
    <row r="76" spans="3:13" x14ac:dyDescent="0.25">
      <c r="D76" s="7"/>
      <c r="E76" s="9"/>
      <c r="F76" s="9"/>
      <c r="G76" s="9"/>
    </row>
    <row r="77" spans="3:13" ht="13.75" customHeight="1" x14ac:dyDescent="0.25">
      <c r="D77" s="361" t="s">
        <v>124</v>
      </c>
      <c r="E77" s="362"/>
      <c r="F77" s="362"/>
      <c r="G77" s="362"/>
      <c r="H77" s="362"/>
      <c r="I77" s="362"/>
      <c r="J77" s="362"/>
      <c r="K77" s="362"/>
      <c r="L77" s="362"/>
      <c r="M77" s="363"/>
    </row>
    <row r="78" spans="3:13" ht="13.75" customHeight="1" x14ac:dyDescent="0.25">
      <c r="D78" s="367"/>
      <c r="E78" s="368"/>
      <c r="F78" s="368"/>
      <c r="G78" s="368"/>
      <c r="H78" s="368"/>
      <c r="I78" s="368"/>
      <c r="J78" s="368"/>
      <c r="K78" s="368"/>
      <c r="L78" s="368"/>
      <c r="M78" s="369"/>
    </row>
    <row r="79" spans="3:13" ht="13.75" customHeight="1" x14ac:dyDescent="0.25">
      <c r="D79" s="364"/>
      <c r="E79" s="365"/>
      <c r="F79" s="365"/>
      <c r="G79" s="365"/>
      <c r="H79" s="365"/>
      <c r="I79" s="365"/>
      <c r="J79" s="365"/>
      <c r="K79" s="365"/>
      <c r="L79" s="365"/>
      <c r="M79" s="366"/>
    </row>
    <row r="80" spans="3:13" x14ac:dyDescent="0.25">
      <c r="D80" s="7"/>
      <c r="E80" s="9"/>
      <c r="F80" s="9"/>
      <c r="G80" s="9"/>
    </row>
    <row r="81" spans="4:13" x14ac:dyDescent="0.25">
      <c r="D81" s="9" t="s">
        <v>127</v>
      </c>
      <c r="E81" s="9"/>
      <c r="F81" s="9"/>
      <c r="G81" s="9"/>
    </row>
    <row r="82" spans="4:13" x14ac:dyDescent="0.25">
      <c r="D82" s="7"/>
      <c r="E82" s="9"/>
      <c r="F82" s="9"/>
      <c r="G82" s="9"/>
    </row>
    <row r="83" spans="4:13" ht="13.75" customHeight="1" x14ac:dyDescent="0.25">
      <c r="D83" s="361" t="s">
        <v>125</v>
      </c>
      <c r="E83" s="362"/>
      <c r="F83" s="362"/>
      <c r="G83" s="362"/>
      <c r="H83" s="362"/>
      <c r="I83" s="362"/>
      <c r="J83" s="362"/>
      <c r="K83" s="362"/>
      <c r="L83" s="362"/>
      <c r="M83" s="363"/>
    </row>
    <row r="84" spans="4:13" ht="13.75" customHeight="1" x14ac:dyDescent="0.25">
      <c r="D84" s="367"/>
      <c r="E84" s="368"/>
      <c r="F84" s="368"/>
      <c r="G84" s="368"/>
      <c r="H84" s="368"/>
      <c r="I84" s="368"/>
      <c r="J84" s="368"/>
      <c r="K84" s="368"/>
      <c r="L84" s="368"/>
      <c r="M84" s="369"/>
    </row>
    <row r="85" spans="4:13" ht="13.75" customHeight="1" x14ac:dyDescent="0.25">
      <c r="D85" s="364"/>
      <c r="E85" s="365"/>
      <c r="F85" s="365"/>
      <c r="G85" s="365"/>
      <c r="H85" s="365"/>
      <c r="I85" s="365"/>
      <c r="J85" s="365"/>
      <c r="K85" s="365"/>
      <c r="L85" s="365"/>
      <c r="M85" s="366"/>
    </row>
    <row r="86" spans="4:13" x14ac:dyDescent="0.25">
      <c r="D86" s="25"/>
      <c r="E86" s="9"/>
      <c r="F86" s="9"/>
      <c r="G86" s="9"/>
    </row>
    <row r="87" spans="4:13" x14ac:dyDescent="0.25">
      <c r="D87" s="9" t="s">
        <v>126</v>
      </c>
      <c r="E87" s="9"/>
      <c r="F87" s="9"/>
      <c r="G87" s="9"/>
    </row>
    <row r="88" spans="4:13" x14ac:dyDescent="0.25">
      <c r="D88" s="7"/>
      <c r="E88" s="9"/>
      <c r="F88" s="9"/>
      <c r="G88" s="9"/>
    </row>
    <row r="89" spans="4:13" ht="13.75" customHeight="1" x14ac:dyDescent="0.25">
      <c r="D89" s="361" t="s">
        <v>128</v>
      </c>
      <c r="E89" s="362"/>
      <c r="F89" s="362"/>
      <c r="G89" s="362"/>
      <c r="H89" s="362"/>
      <c r="I89" s="362"/>
      <c r="J89" s="362"/>
      <c r="K89" s="362"/>
      <c r="L89" s="362"/>
      <c r="M89" s="363"/>
    </row>
    <row r="90" spans="4:13" ht="13.75" customHeight="1" x14ac:dyDescent="0.25">
      <c r="D90" s="364"/>
      <c r="E90" s="365"/>
      <c r="F90" s="365"/>
      <c r="G90" s="365"/>
      <c r="H90" s="365"/>
      <c r="I90" s="365"/>
      <c r="J90" s="365"/>
      <c r="K90" s="365"/>
      <c r="L90" s="365"/>
      <c r="M90" s="366"/>
    </row>
    <row r="92" spans="4:13" x14ac:dyDescent="0.25">
      <c r="D92" s="9" t="s">
        <v>130</v>
      </c>
      <c r="E92" s="9"/>
      <c r="F92" s="9"/>
      <c r="G92" s="9"/>
    </row>
    <row r="93" spans="4:13" x14ac:dyDescent="0.25">
      <c r="D93" s="7"/>
      <c r="E93" s="9"/>
      <c r="F93" s="9"/>
      <c r="G93" s="9"/>
    </row>
    <row r="94" spans="4:13" ht="13.75" customHeight="1" x14ac:dyDescent="0.25">
      <c r="D94" s="361" t="s">
        <v>129</v>
      </c>
      <c r="E94" s="362"/>
      <c r="F94" s="362"/>
      <c r="G94" s="362"/>
      <c r="H94" s="362"/>
      <c r="I94" s="362"/>
      <c r="J94" s="362"/>
      <c r="K94" s="362"/>
      <c r="L94" s="362"/>
      <c r="M94" s="363"/>
    </row>
    <row r="95" spans="4:13" ht="13.75" customHeight="1" x14ac:dyDescent="0.25">
      <c r="D95" s="364"/>
      <c r="E95" s="365"/>
      <c r="F95" s="365"/>
      <c r="G95" s="365"/>
      <c r="H95" s="365"/>
      <c r="I95" s="365"/>
      <c r="J95" s="365"/>
      <c r="K95" s="365"/>
      <c r="L95" s="365"/>
      <c r="M95" s="366"/>
    </row>
    <row r="97" spans="4:13" x14ac:dyDescent="0.25">
      <c r="D97" s="9" t="s">
        <v>131</v>
      </c>
      <c r="E97" s="9"/>
      <c r="F97" s="9"/>
      <c r="G97" s="9"/>
    </row>
    <row r="98" spans="4:13" x14ac:dyDescent="0.25">
      <c r="D98" s="7"/>
      <c r="E98" s="9"/>
      <c r="F98" s="9"/>
      <c r="G98" s="9"/>
    </row>
    <row r="99" spans="4:13" ht="13.75" customHeight="1" x14ac:dyDescent="0.25">
      <c r="D99" s="361" t="s">
        <v>132</v>
      </c>
      <c r="E99" s="362"/>
      <c r="F99" s="362"/>
      <c r="G99" s="362"/>
      <c r="H99" s="362"/>
      <c r="I99" s="362"/>
      <c r="J99" s="362"/>
      <c r="K99" s="362"/>
      <c r="L99" s="362"/>
      <c r="M99" s="363"/>
    </row>
    <row r="100" spans="4:13" ht="13.75" customHeight="1" x14ac:dyDescent="0.25">
      <c r="D100" s="364"/>
      <c r="E100" s="365"/>
      <c r="F100" s="365"/>
      <c r="G100" s="365"/>
      <c r="H100" s="365"/>
      <c r="I100" s="365"/>
      <c r="J100" s="365"/>
      <c r="K100" s="365"/>
      <c r="L100" s="365"/>
      <c r="M100" s="366"/>
    </row>
    <row r="102" spans="4:13" x14ac:dyDescent="0.25">
      <c r="D102" s="9" t="s">
        <v>133</v>
      </c>
      <c r="E102" s="9"/>
      <c r="F102" s="9"/>
      <c r="G102" s="9"/>
    </row>
    <row r="103" spans="4:13" x14ac:dyDescent="0.25">
      <c r="D103" s="7"/>
      <c r="E103" s="9"/>
      <c r="F103" s="9"/>
      <c r="G103" s="9"/>
    </row>
    <row r="104" spans="4:13" ht="13.75" customHeight="1" x14ac:dyDescent="0.25">
      <c r="D104" s="361" t="s">
        <v>134</v>
      </c>
      <c r="E104" s="362"/>
      <c r="F104" s="362"/>
      <c r="G104" s="362"/>
      <c r="H104" s="362"/>
      <c r="I104" s="362"/>
      <c r="J104" s="362"/>
      <c r="K104" s="362"/>
      <c r="L104" s="362"/>
      <c r="M104" s="363"/>
    </row>
    <row r="105" spans="4:13" ht="13.75" customHeight="1" x14ac:dyDescent="0.25">
      <c r="D105" s="367"/>
      <c r="E105" s="368"/>
      <c r="F105" s="368"/>
      <c r="G105" s="368"/>
      <c r="H105" s="368"/>
      <c r="I105" s="368"/>
      <c r="J105" s="368"/>
      <c r="K105" s="368"/>
      <c r="L105" s="368"/>
      <c r="M105" s="369"/>
    </row>
    <row r="106" spans="4:13" ht="13.75" customHeight="1" x14ac:dyDescent="0.25">
      <c r="D106" s="364"/>
      <c r="E106" s="365"/>
      <c r="F106" s="365"/>
      <c r="G106" s="365"/>
      <c r="H106" s="365"/>
      <c r="I106" s="365"/>
      <c r="J106" s="365"/>
      <c r="K106" s="365"/>
      <c r="L106" s="365"/>
      <c r="M106" s="366"/>
    </row>
    <row r="108" spans="4:13" x14ac:dyDescent="0.25">
      <c r="D108" s="9" t="s">
        <v>179</v>
      </c>
      <c r="E108" s="9"/>
      <c r="F108" s="9"/>
      <c r="G108" s="9"/>
    </row>
    <row r="109" spans="4:13" x14ac:dyDescent="0.25">
      <c r="D109" s="7"/>
      <c r="E109" s="9"/>
      <c r="F109" s="9"/>
      <c r="G109" s="9"/>
    </row>
    <row r="110" spans="4:13" ht="13.75" customHeight="1" x14ac:dyDescent="0.25">
      <c r="D110" s="361" t="s">
        <v>135</v>
      </c>
      <c r="E110" s="362"/>
      <c r="F110" s="362"/>
      <c r="G110" s="362"/>
      <c r="H110" s="362"/>
      <c r="I110" s="362"/>
      <c r="J110" s="362"/>
      <c r="K110" s="362"/>
      <c r="L110" s="362"/>
      <c r="M110" s="363"/>
    </row>
    <row r="111" spans="4:13" ht="13.75" customHeight="1" x14ac:dyDescent="0.25">
      <c r="D111" s="364"/>
      <c r="E111" s="365"/>
      <c r="F111" s="365"/>
      <c r="G111" s="365"/>
      <c r="H111" s="365"/>
      <c r="I111" s="365"/>
      <c r="J111" s="365"/>
      <c r="K111" s="365"/>
      <c r="L111" s="365"/>
      <c r="M111" s="366"/>
    </row>
    <row r="113" spans="4:13" x14ac:dyDescent="0.25">
      <c r="D113" s="9" t="s">
        <v>136</v>
      </c>
      <c r="E113" s="9"/>
      <c r="F113" s="9"/>
      <c r="G113" s="9"/>
    </row>
    <row r="114" spans="4:13" x14ac:dyDescent="0.25">
      <c r="D114" s="7"/>
      <c r="E114" s="9"/>
      <c r="F114" s="9"/>
      <c r="G114" s="9"/>
    </row>
    <row r="115" spans="4:13" x14ac:dyDescent="0.25">
      <c r="D115" s="361" t="s">
        <v>139</v>
      </c>
      <c r="E115" s="362"/>
      <c r="F115" s="362"/>
      <c r="G115" s="362"/>
      <c r="H115" s="362"/>
      <c r="I115" s="362"/>
      <c r="J115" s="362"/>
      <c r="K115" s="362"/>
      <c r="L115" s="362"/>
      <c r="M115" s="363"/>
    </row>
    <row r="116" spans="4:13" x14ac:dyDescent="0.25">
      <c r="D116" s="364"/>
      <c r="E116" s="365"/>
      <c r="F116" s="365"/>
      <c r="G116" s="365"/>
      <c r="H116" s="365"/>
      <c r="I116" s="365"/>
      <c r="J116" s="365"/>
      <c r="K116" s="365"/>
      <c r="L116" s="365"/>
      <c r="M116" s="366"/>
    </row>
    <row r="118" spans="4:13" x14ac:dyDescent="0.25">
      <c r="D118" s="9" t="s">
        <v>137</v>
      </c>
      <c r="E118" s="9"/>
      <c r="F118" s="9"/>
      <c r="G118" s="9"/>
    </row>
    <row r="119" spans="4:13" x14ac:dyDescent="0.25">
      <c r="D119" s="7"/>
      <c r="E119" s="9"/>
      <c r="F119" s="9"/>
      <c r="G119" s="9"/>
    </row>
    <row r="120" spans="4:13" x14ac:dyDescent="0.25">
      <c r="D120" s="361" t="s">
        <v>140</v>
      </c>
      <c r="E120" s="362"/>
      <c r="F120" s="362"/>
      <c r="G120" s="362"/>
      <c r="H120" s="362"/>
      <c r="I120" s="362"/>
      <c r="J120" s="362"/>
      <c r="K120" s="362"/>
      <c r="L120" s="362"/>
      <c r="M120" s="363"/>
    </row>
    <row r="121" spans="4:13" x14ac:dyDescent="0.25">
      <c r="D121" s="364"/>
      <c r="E121" s="365"/>
      <c r="F121" s="365"/>
      <c r="G121" s="365"/>
      <c r="H121" s="365"/>
      <c r="I121" s="365"/>
      <c r="J121" s="365"/>
      <c r="K121" s="365"/>
      <c r="L121" s="365"/>
      <c r="M121" s="366"/>
    </row>
    <row r="123" spans="4:13" x14ac:dyDescent="0.25">
      <c r="D123" s="9" t="s">
        <v>138</v>
      </c>
      <c r="E123" s="9"/>
      <c r="F123" s="9"/>
      <c r="G123" s="9"/>
    </row>
    <row r="124" spans="4:13" x14ac:dyDescent="0.25">
      <c r="D124" s="7"/>
      <c r="E124" s="9"/>
      <c r="F124" s="9"/>
      <c r="G124" s="9"/>
    </row>
    <row r="125" spans="4:13" x14ac:dyDescent="0.25">
      <c r="D125" s="361" t="s">
        <v>141</v>
      </c>
      <c r="E125" s="362"/>
      <c r="F125" s="362"/>
      <c r="G125" s="362"/>
      <c r="H125" s="362"/>
      <c r="I125" s="362"/>
      <c r="J125" s="362"/>
      <c r="K125" s="362"/>
      <c r="L125" s="362"/>
      <c r="M125" s="363"/>
    </row>
    <row r="126" spans="4:13" x14ac:dyDescent="0.25">
      <c r="D126" s="364"/>
      <c r="E126" s="365"/>
      <c r="F126" s="365"/>
      <c r="G126" s="365"/>
      <c r="H126" s="365"/>
      <c r="I126" s="365"/>
      <c r="J126" s="365"/>
      <c r="K126" s="365"/>
      <c r="L126" s="365"/>
      <c r="M126" s="366"/>
    </row>
  </sheetData>
  <mergeCells count="10">
    <mergeCell ref="D110:M111"/>
    <mergeCell ref="D115:M116"/>
    <mergeCell ref="D120:M121"/>
    <mergeCell ref="D125:M126"/>
    <mergeCell ref="D77:M79"/>
    <mergeCell ref="D83:M85"/>
    <mergeCell ref="D89:M90"/>
    <mergeCell ref="D94:M95"/>
    <mergeCell ref="D99:M100"/>
    <mergeCell ref="D104:M106"/>
  </mergeCells>
  <phoneticPr fontId="23" type="noConversion"/>
  <dataValidations count="1">
    <dataValidation type="list" allowBlank="1" showInputMessage="1" showErrorMessage="1" sqref="F51:G51" xr:uid="{00000000-0002-0000-0200-000000000000}">
      <formula1>$R$35:$R$39</formula1>
    </dataValidation>
  </dataValidations>
  <pageMargins left="0.7" right="0.7" top="0.75" bottom="0.75" header="0.3" footer="0.3"/>
  <pageSetup paperSize="9" scale="5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Fill="0" autoLine="0" autoPict="0">
                <anchor moveWithCells="1">
                  <from>
                    <xdr:col>3</xdr:col>
                    <xdr:colOff>717550</xdr:colOff>
                    <xdr:row>49</xdr:row>
                    <xdr:rowOff>107950</xdr:rowOff>
                  </from>
                  <to>
                    <xdr:col>4</xdr:col>
                    <xdr:colOff>38100</xdr:colOff>
                    <xdr:row>50</xdr:row>
                    <xdr:rowOff>38100</xdr:rowOff>
                  </to>
                </anchor>
              </controlPr>
            </control>
          </mc:Choice>
        </mc:AlternateContent>
        <mc:AlternateContent xmlns:mc="http://schemas.openxmlformats.org/markup-compatibility/2006">
          <mc:Choice Requires="x14">
            <control shapeId="1026" r:id="rId5" name="Drop Down 2">
              <controlPr defaultSize="0" autoFill="0" autoLine="0" autoPict="0">
                <anchor moveWithCells="1">
                  <from>
                    <xdr:col>3</xdr:col>
                    <xdr:colOff>717550</xdr:colOff>
                    <xdr:row>49</xdr:row>
                    <xdr:rowOff>107950</xdr:rowOff>
                  </from>
                  <to>
                    <xdr:col>4</xdr:col>
                    <xdr:colOff>38100</xdr:colOff>
                    <xdr:row>50</xdr:row>
                    <xdr:rowOff>38100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1"/>
  </sheetPr>
  <dimension ref="B2:AB103"/>
  <sheetViews>
    <sheetView showGridLines="0" topLeftCell="A16" zoomScale="85" zoomScaleNormal="85" workbookViewId="0">
      <selection activeCell="G49" sqref="G49"/>
    </sheetView>
  </sheetViews>
  <sheetFormatPr defaultColWidth="9" defaultRowHeight="11.5" outlineLevelRow="1" outlineLevelCol="1" x14ac:dyDescent="0.25"/>
  <cols>
    <col min="1" max="1" width="3.33203125" style="6" customWidth="1"/>
    <col min="2" max="2" width="22.83203125" style="6" customWidth="1"/>
    <col min="3" max="4" width="17.33203125" style="6" customWidth="1"/>
    <col min="5" max="5" width="7.4140625" style="6" customWidth="1"/>
    <col min="6" max="15" width="5.5" style="6" customWidth="1" outlineLevel="1"/>
    <col min="16" max="16" width="7.4140625" style="6" customWidth="1" outlineLevel="1"/>
    <col min="17" max="17" width="63.6640625" style="6" customWidth="1" outlineLevel="1"/>
    <col min="18" max="18" width="7.4140625" style="6" customWidth="1" outlineLevel="1"/>
    <col min="19" max="19" width="2.6640625" style="6" customWidth="1"/>
    <col min="20" max="25" width="5.5" style="6" customWidth="1"/>
    <col min="26" max="16384" width="9" style="6"/>
  </cols>
  <sheetData>
    <row r="2" spans="2:25" ht="12" thickBot="1" x14ac:dyDescent="0.3">
      <c r="B2" s="27" t="s">
        <v>142</v>
      </c>
      <c r="C2" s="49"/>
      <c r="W2" s="48"/>
    </row>
    <row r="3" spans="2:25" x14ac:dyDescent="0.25">
      <c r="B3" s="49"/>
      <c r="C3" s="49"/>
      <c r="W3" s="48"/>
    </row>
    <row r="4" spans="2:25" outlineLevel="1" x14ac:dyDescent="0.25">
      <c r="B4" s="29" t="s">
        <v>51</v>
      </c>
    </row>
    <row r="5" spans="2:25" outlineLevel="1" x14ac:dyDescent="0.25">
      <c r="B5" s="6" t="s">
        <v>52</v>
      </c>
    </row>
    <row r="6" spans="2:25" outlineLevel="1" x14ac:dyDescent="0.25"/>
    <row r="7" spans="2:25" outlineLevel="1" x14ac:dyDescent="0.25">
      <c r="B7" s="29" t="s">
        <v>53</v>
      </c>
      <c r="C7" s="29"/>
    </row>
    <row r="8" spans="2:25" outlineLevel="1" x14ac:dyDescent="0.25">
      <c r="B8" s="6" t="s">
        <v>54</v>
      </c>
    </row>
    <row r="9" spans="2:25" outlineLevel="1" x14ac:dyDescent="0.25">
      <c r="B9" s="212" t="s">
        <v>190</v>
      </c>
    </row>
    <row r="10" spans="2:25" outlineLevel="1" x14ac:dyDescent="0.25">
      <c r="B10" s="6" t="s">
        <v>56</v>
      </c>
    </row>
    <row r="11" spans="2:25" ht="16" outlineLevel="1" x14ac:dyDescent="0.25">
      <c r="E11" s="31"/>
      <c r="F11" s="31"/>
    </row>
    <row r="12" spans="2:25" ht="16" outlineLevel="1" x14ac:dyDescent="0.25">
      <c r="B12" s="30" t="s">
        <v>50</v>
      </c>
      <c r="C12" s="30">
        <v>3</v>
      </c>
      <c r="E12" s="31"/>
      <c r="F12" s="31"/>
    </row>
    <row r="13" spans="2:25" ht="16" outlineLevel="1" x14ac:dyDescent="0.25">
      <c r="B13" s="30" t="s">
        <v>55</v>
      </c>
      <c r="C13" s="30">
        <v>2</v>
      </c>
      <c r="E13" s="31"/>
      <c r="F13" s="31"/>
    </row>
    <row r="14" spans="2:25" ht="16" outlineLevel="1" x14ac:dyDescent="0.25">
      <c r="B14" s="30" t="s">
        <v>49</v>
      </c>
      <c r="C14" s="30">
        <v>1</v>
      </c>
    </row>
    <row r="15" spans="2:25" ht="16" x14ac:dyDescent="0.25">
      <c r="B15" s="31"/>
      <c r="C15" s="31"/>
    </row>
    <row r="16" spans="2:25" ht="96" customHeight="1" x14ac:dyDescent="0.25">
      <c r="D16" s="33" t="s">
        <v>115</v>
      </c>
      <c r="F16" s="300" t="s">
        <v>58</v>
      </c>
      <c r="G16" s="301" t="s">
        <v>59</v>
      </c>
      <c r="H16" s="301" t="s">
        <v>60</v>
      </c>
      <c r="I16" s="301" t="s">
        <v>61</v>
      </c>
      <c r="J16" s="301" t="s">
        <v>62</v>
      </c>
      <c r="K16" s="301" t="s">
        <v>63</v>
      </c>
      <c r="L16" s="301" t="s">
        <v>64</v>
      </c>
      <c r="M16" s="301" t="s">
        <v>65</v>
      </c>
      <c r="N16" s="301" t="s">
        <v>66</v>
      </c>
      <c r="O16" s="301" t="s">
        <v>67</v>
      </c>
      <c r="P16" s="34"/>
      <c r="Q16" s="34"/>
      <c r="S16" s="35"/>
      <c r="T16" s="302" t="s">
        <v>469</v>
      </c>
      <c r="U16" s="302" t="s">
        <v>470</v>
      </c>
      <c r="V16" s="302" t="s">
        <v>321</v>
      </c>
      <c r="W16" s="302" t="s">
        <v>472</v>
      </c>
      <c r="X16" s="302" t="s">
        <v>473</v>
      </c>
      <c r="Y16" s="302" t="s">
        <v>474</v>
      </c>
    </row>
    <row r="17" spans="2:28" s="29" customFormat="1" ht="34.5" x14ac:dyDescent="0.25">
      <c r="B17" s="298" t="s">
        <v>68</v>
      </c>
      <c r="C17" s="298" t="s">
        <v>281</v>
      </c>
      <c r="D17" s="298" t="s">
        <v>282</v>
      </c>
      <c r="E17" s="299" t="s">
        <v>283</v>
      </c>
      <c r="F17" s="370" t="s">
        <v>203</v>
      </c>
      <c r="G17" s="370"/>
      <c r="H17" s="370"/>
      <c r="I17" s="370"/>
      <c r="J17" s="370"/>
      <c r="K17" s="370"/>
      <c r="L17" s="370"/>
      <c r="M17" s="370"/>
      <c r="N17" s="370"/>
      <c r="O17" s="370"/>
      <c r="P17" s="299" t="s">
        <v>69</v>
      </c>
      <c r="Q17" s="299" t="s">
        <v>201</v>
      </c>
      <c r="R17" s="325" t="s">
        <v>70</v>
      </c>
      <c r="S17" s="99"/>
      <c r="T17" s="299"/>
      <c r="U17" s="299"/>
      <c r="V17" s="299"/>
      <c r="W17" s="299"/>
      <c r="X17" s="299"/>
      <c r="Y17" s="299"/>
    </row>
    <row r="18" spans="2:28" ht="12" customHeight="1" x14ac:dyDescent="0.25">
      <c r="B18" s="51" t="s">
        <v>71</v>
      </c>
      <c r="C18" s="59"/>
      <c r="D18" s="59"/>
      <c r="E18" s="78"/>
      <c r="F18" s="78"/>
      <c r="G18" s="78"/>
      <c r="H18" s="78"/>
      <c r="I18" s="78"/>
      <c r="J18" s="78"/>
      <c r="K18" s="78"/>
      <c r="L18" s="78"/>
      <c r="M18" s="78"/>
      <c r="N18" s="78"/>
      <c r="O18" s="78"/>
      <c r="P18" s="78"/>
      <c r="Q18" s="78"/>
      <c r="R18" s="231"/>
      <c r="S18" s="26"/>
      <c r="T18" s="231"/>
      <c r="U18" s="231"/>
      <c r="V18" s="231"/>
      <c r="W18" s="231"/>
      <c r="X18" s="231"/>
      <c r="Y18" s="231"/>
    </row>
    <row r="19" spans="2:28" s="233" customFormat="1" ht="12" customHeight="1" x14ac:dyDescent="0.25">
      <c r="B19" s="234" t="s">
        <v>195</v>
      </c>
      <c r="C19" s="293">
        <f>C20+C34</f>
        <v>13384335493</v>
      </c>
      <c r="D19" s="293">
        <f>D20+D34</f>
        <v>12853911767</v>
      </c>
      <c r="E19" s="235"/>
      <c r="F19" s="235"/>
      <c r="G19" s="235"/>
      <c r="H19" s="235"/>
      <c r="I19" s="235"/>
      <c r="J19" s="235"/>
      <c r="K19" s="235"/>
      <c r="L19" s="235"/>
      <c r="M19" s="235"/>
      <c r="N19" s="235"/>
      <c r="O19" s="235"/>
      <c r="P19" s="235"/>
      <c r="Q19" s="235"/>
      <c r="R19" s="236"/>
      <c r="S19" s="237"/>
      <c r="T19" s="230"/>
      <c r="U19" s="230"/>
      <c r="V19" s="230"/>
      <c r="W19" s="230"/>
      <c r="X19" s="230"/>
      <c r="Y19" s="230"/>
    </row>
    <row r="20" spans="2:28" s="233" customFormat="1" ht="12" customHeight="1" x14ac:dyDescent="0.25">
      <c r="B20" s="234" t="s">
        <v>196</v>
      </c>
      <c r="C20" s="293">
        <f>SUM(C21:C33)</f>
        <v>13384335493</v>
      </c>
      <c r="D20" s="293">
        <f>SUM(D21:D33)</f>
        <v>12853911767</v>
      </c>
      <c r="E20" s="235"/>
      <c r="F20" s="235"/>
      <c r="G20" s="235"/>
      <c r="H20" s="235"/>
      <c r="I20" s="235"/>
      <c r="J20" s="235"/>
      <c r="K20" s="235"/>
      <c r="L20" s="235"/>
      <c r="M20" s="235"/>
      <c r="N20" s="235"/>
      <c r="O20" s="235"/>
      <c r="P20" s="235"/>
      <c r="Q20" s="235"/>
      <c r="R20" s="230"/>
      <c r="S20" s="237"/>
      <c r="T20" s="230"/>
      <c r="U20" s="230"/>
      <c r="V20" s="230"/>
      <c r="W20" s="230"/>
      <c r="X20" s="230"/>
      <c r="Y20" s="230"/>
    </row>
    <row r="21" spans="2:28" ht="12" customHeight="1" x14ac:dyDescent="0.25">
      <c r="B21" s="211" t="s">
        <v>272</v>
      </c>
      <c r="C21" s="292">
        <v>6005655731</v>
      </c>
      <c r="D21" s="292">
        <v>10824294574</v>
      </c>
      <c r="E21" s="79" t="str">
        <f>+IF(ABS($C21)&gt;='1. 중요성 기준'!$G$62,"Y","N")</f>
        <v>Y</v>
      </c>
      <c r="F21" s="67" t="s">
        <v>49</v>
      </c>
      <c r="G21" s="67" t="s">
        <v>49</v>
      </c>
      <c r="H21" s="67" t="s">
        <v>49</v>
      </c>
      <c r="I21" s="67" t="s">
        <v>49</v>
      </c>
      <c r="J21" s="67" t="s">
        <v>49</v>
      </c>
      <c r="K21" s="67" t="s">
        <v>49</v>
      </c>
      <c r="L21" s="67" t="s">
        <v>49</v>
      </c>
      <c r="M21" s="67" t="s">
        <v>49</v>
      </c>
      <c r="N21" s="67" t="s">
        <v>49</v>
      </c>
      <c r="O21" s="67" t="s">
        <v>49</v>
      </c>
      <c r="P21" s="68" t="str">
        <f t="shared" ref="P21:P34" si="0">IF(SUM(COUNTIF($F21:$O21,"High")*$C$12+COUNTIF($F21:$O21,"Medium")*$C$13+COUNTIF($F21:$O21,"Low")*$C$14)/10&gt;=2,"Y","N")</f>
        <v>N</v>
      </c>
      <c r="Q21" s="217"/>
      <c r="R21" s="71" t="str">
        <f>IF(COUNTIF($E21:$P21,"Y")&gt;0,"Y","N")</f>
        <v>Y</v>
      </c>
      <c r="S21" s="26"/>
      <c r="T21" s="73"/>
      <c r="U21" s="73"/>
      <c r="V21" s="73" t="s">
        <v>72</v>
      </c>
      <c r="W21" s="357" t="s">
        <v>843</v>
      </c>
      <c r="X21" s="73"/>
      <c r="Y21" s="73"/>
    </row>
    <row r="22" spans="2:28" ht="12" customHeight="1" x14ac:dyDescent="0.25">
      <c r="B22" s="211" t="s">
        <v>114</v>
      </c>
      <c r="C22" s="292">
        <v>3000000000</v>
      </c>
      <c r="D22" s="292">
        <v>0</v>
      </c>
      <c r="E22" s="79" t="str">
        <f>+IF(ABS($C22)&gt;='1. 중요성 기준'!$G$62,"Y","N")</f>
        <v>Y</v>
      </c>
      <c r="F22" s="67"/>
      <c r="G22" s="67"/>
      <c r="H22" s="67"/>
      <c r="I22" s="67"/>
      <c r="J22" s="67"/>
      <c r="K22" s="67"/>
      <c r="L22" s="67"/>
      <c r="M22" s="67"/>
      <c r="N22" s="67"/>
      <c r="O22" s="67"/>
      <c r="P22" s="68" t="str">
        <f t="shared" si="0"/>
        <v>N</v>
      </c>
      <c r="Q22" s="217"/>
      <c r="R22" s="71" t="str">
        <f t="shared" ref="R22:R27" si="1">IF(COUNTIF($E22:$P22,"Y")&gt;0,"Y","N")</f>
        <v>Y</v>
      </c>
      <c r="S22" s="26"/>
      <c r="T22" s="73"/>
      <c r="U22" s="73"/>
      <c r="V22" s="73" t="s">
        <v>72</v>
      </c>
      <c r="W22" s="357" t="s">
        <v>843</v>
      </c>
      <c r="X22" s="73"/>
      <c r="Y22" s="73"/>
    </row>
    <row r="23" spans="2:28" ht="12" customHeight="1" x14ac:dyDescent="0.25">
      <c r="B23" s="211" t="s">
        <v>113</v>
      </c>
      <c r="C23" s="292">
        <v>1719683514</v>
      </c>
      <c r="D23" s="292">
        <v>1742611903</v>
      </c>
      <c r="E23" s="79" t="str">
        <f>+IF(ABS($C23)&gt;='1. 중요성 기준'!$G$62,"Y","N")</f>
        <v>Y</v>
      </c>
      <c r="F23" s="67" t="s">
        <v>49</v>
      </c>
      <c r="G23" s="67" t="s">
        <v>49</v>
      </c>
      <c r="H23" s="67" t="s">
        <v>49</v>
      </c>
      <c r="I23" s="67" t="s">
        <v>49</v>
      </c>
      <c r="J23" s="67" t="s">
        <v>49</v>
      </c>
      <c r="K23" s="67" t="s">
        <v>49</v>
      </c>
      <c r="L23" s="67" t="s">
        <v>49</v>
      </c>
      <c r="M23" s="67" t="s">
        <v>49</v>
      </c>
      <c r="N23" s="67" t="s">
        <v>49</v>
      </c>
      <c r="O23" s="67" t="s">
        <v>49</v>
      </c>
      <c r="P23" s="68" t="str">
        <f t="shared" si="0"/>
        <v>N</v>
      </c>
      <c r="Q23" s="217"/>
      <c r="R23" s="71" t="str">
        <f t="shared" si="1"/>
        <v>Y</v>
      </c>
      <c r="S23" s="26"/>
      <c r="T23" s="73" t="s">
        <v>72</v>
      </c>
      <c r="U23" s="73"/>
      <c r="V23" s="73" t="s">
        <v>72</v>
      </c>
      <c r="W23" s="357" t="s">
        <v>843</v>
      </c>
      <c r="X23" s="73"/>
      <c r="Y23" s="73"/>
    </row>
    <row r="24" spans="2:28" ht="12" customHeight="1" x14ac:dyDescent="0.25">
      <c r="B24" s="211" t="s">
        <v>379</v>
      </c>
      <c r="C24" s="292">
        <v>-1077067</v>
      </c>
      <c r="D24" s="292">
        <v>-69715814</v>
      </c>
      <c r="E24" s="79" t="str">
        <f>+IF(ABS($C24)&gt;='1. 중요성 기준'!$G$62,"Y","N")</f>
        <v>N</v>
      </c>
      <c r="F24" s="67" t="s">
        <v>50</v>
      </c>
      <c r="G24" s="67" t="s">
        <v>50</v>
      </c>
      <c r="H24" s="67" t="s">
        <v>55</v>
      </c>
      <c r="I24" s="67" t="s">
        <v>49</v>
      </c>
      <c r="J24" s="67" t="s">
        <v>49</v>
      </c>
      <c r="K24" s="67" t="s">
        <v>50</v>
      </c>
      <c r="L24" s="67" t="s">
        <v>49</v>
      </c>
      <c r="M24" s="67" t="s">
        <v>49</v>
      </c>
      <c r="N24" s="67" t="s">
        <v>50</v>
      </c>
      <c r="O24" s="67" t="s">
        <v>55</v>
      </c>
      <c r="P24" s="68" t="str">
        <f t="shared" si="0"/>
        <v>Y</v>
      </c>
      <c r="Q24" s="217" t="s">
        <v>468</v>
      </c>
      <c r="R24" s="71" t="str">
        <f t="shared" si="1"/>
        <v>Y</v>
      </c>
      <c r="S24" s="26"/>
      <c r="T24" s="73" t="s">
        <v>72</v>
      </c>
      <c r="U24" s="73"/>
      <c r="V24" s="73"/>
      <c r="W24" s="357" t="s">
        <v>843</v>
      </c>
      <c r="X24" s="73"/>
      <c r="Y24" s="73"/>
    </row>
    <row r="25" spans="2:28" ht="12" customHeight="1" x14ac:dyDescent="0.25">
      <c r="B25" s="211" t="s">
        <v>380</v>
      </c>
      <c r="C25" s="292">
        <v>314997332</v>
      </c>
      <c r="D25" s="292"/>
      <c r="E25" s="79" t="str">
        <f>+IF(ABS($C25)&gt;='1. 중요성 기준'!$G$62,"Y","N")</f>
        <v>Y</v>
      </c>
      <c r="F25" s="67"/>
      <c r="G25" s="67"/>
      <c r="H25" s="67"/>
      <c r="I25" s="67"/>
      <c r="J25" s="67"/>
      <c r="K25" s="67"/>
      <c r="L25" s="67"/>
      <c r="M25" s="67"/>
      <c r="N25" s="67"/>
      <c r="O25" s="67"/>
      <c r="P25" s="68" t="str">
        <f t="shared" si="0"/>
        <v>N</v>
      </c>
      <c r="Q25" s="217"/>
      <c r="R25" s="71" t="str">
        <f t="shared" si="1"/>
        <v>Y</v>
      </c>
      <c r="S25" s="26"/>
      <c r="T25" s="73"/>
      <c r="U25" s="73"/>
      <c r="V25" s="73" t="s">
        <v>72</v>
      </c>
      <c r="W25" s="357" t="s">
        <v>843</v>
      </c>
      <c r="X25" s="73"/>
      <c r="Y25" s="73"/>
    </row>
    <row r="26" spans="2:28" ht="12" customHeight="1" x14ac:dyDescent="0.25">
      <c r="B26" s="211" t="s">
        <v>381</v>
      </c>
      <c r="C26" s="292">
        <v>2275992400</v>
      </c>
      <c r="D26" s="292">
        <v>305303700</v>
      </c>
      <c r="E26" s="79" t="str">
        <f>+IF(ABS($C26)&gt;='1. 중요성 기준'!$G$62,"Y","N")</f>
        <v>Y</v>
      </c>
      <c r="F26" s="67"/>
      <c r="G26" s="67"/>
      <c r="H26" s="67"/>
      <c r="I26" s="67"/>
      <c r="J26" s="67"/>
      <c r="K26" s="67"/>
      <c r="L26" s="67"/>
      <c r="M26" s="67"/>
      <c r="N26" s="67"/>
      <c r="O26" s="67"/>
      <c r="P26" s="68" t="str">
        <f t="shared" si="0"/>
        <v>N</v>
      </c>
      <c r="Q26" s="217"/>
      <c r="R26" s="71" t="str">
        <f t="shared" si="1"/>
        <v>Y</v>
      </c>
      <c r="S26" s="26"/>
      <c r="T26" s="73"/>
      <c r="U26" s="73"/>
      <c r="V26" s="73" t="s">
        <v>72</v>
      </c>
      <c r="W26" s="357" t="s">
        <v>843</v>
      </c>
      <c r="X26" s="73"/>
      <c r="Y26" s="73"/>
    </row>
    <row r="27" spans="2:28" ht="12" customHeight="1" x14ac:dyDescent="0.25">
      <c r="B27" s="211" t="s">
        <v>273</v>
      </c>
      <c r="C27" s="292">
        <v>5948300</v>
      </c>
      <c r="D27" s="292">
        <v>0</v>
      </c>
      <c r="E27" s="79" t="str">
        <f>+IF(ABS($C27)&gt;='1. 중요성 기준'!$G$62,"Y","N")</f>
        <v>N</v>
      </c>
      <c r="F27" s="67" t="s">
        <v>49</v>
      </c>
      <c r="G27" s="67" t="s">
        <v>49</v>
      </c>
      <c r="H27" s="67" t="s">
        <v>49</v>
      </c>
      <c r="I27" s="67" t="s">
        <v>49</v>
      </c>
      <c r="J27" s="67" t="s">
        <v>49</v>
      </c>
      <c r="K27" s="67" t="s">
        <v>49</v>
      </c>
      <c r="L27" s="67" t="s">
        <v>49</v>
      </c>
      <c r="M27" s="67" t="s">
        <v>49</v>
      </c>
      <c r="N27" s="67" t="s">
        <v>49</v>
      </c>
      <c r="O27" s="67" t="s">
        <v>49</v>
      </c>
      <c r="P27" s="68" t="str">
        <f t="shared" si="0"/>
        <v>N</v>
      </c>
      <c r="Q27" s="217" t="s">
        <v>213</v>
      </c>
      <c r="R27" s="71" t="str">
        <f t="shared" si="1"/>
        <v>N</v>
      </c>
      <c r="S27" s="26"/>
      <c r="T27" s="73"/>
      <c r="U27" s="73"/>
      <c r="V27" s="73"/>
      <c r="W27" s="73"/>
      <c r="X27" s="73"/>
      <c r="Y27" s="73"/>
    </row>
    <row r="28" spans="2:28" ht="12" customHeight="1" x14ac:dyDescent="0.25">
      <c r="B28" s="211" t="s">
        <v>284</v>
      </c>
      <c r="C28" s="292">
        <v>46830564</v>
      </c>
      <c r="D28" s="292">
        <v>0</v>
      </c>
      <c r="E28" s="79" t="str">
        <f>+IF(ABS($C28)&gt;='1. 중요성 기준'!$G$62,"Y","N")</f>
        <v>N</v>
      </c>
      <c r="F28" s="67" t="s">
        <v>50</v>
      </c>
      <c r="G28" s="67" t="s">
        <v>50</v>
      </c>
      <c r="H28" s="67" t="s">
        <v>55</v>
      </c>
      <c r="I28" s="67" t="s">
        <v>49</v>
      </c>
      <c r="J28" s="67" t="s">
        <v>49</v>
      </c>
      <c r="K28" s="67" t="s">
        <v>50</v>
      </c>
      <c r="L28" s="67" t="s">
        <v>49</v>
      </c>
      <c r="M28" s="67" t="s">
        <v>49</v>
      </c>
      <c r="N28" s="67" t="s">
        <v>50</v>
      </c>
      <c r="O28" s="67" t="s">
        <v>55</v>
      </c>
      <c r="P28" s="68" t="str">
        <f t="shared" si="0"/>
        <v>Y</v>
      </c>
      <c r="Q28" s="217" t="s">
        <v>546</v>
      </c>
      <c r="R28" s="71" t="str">
        <f t="shared" ref="R28:R33" si="2">IF(COUNTIF($E28:$P28,"Y")&gt;0,"Y","N")</f>
        <v>Y</v>
      </c>
      <c r="S28" s="26"/>
      <c r="T28" s="73"/>
      <c r="U28" s="72"/>
      <c r="V28" s="73" t="s">
        <v>72</v>
      </c>
      <c r="W28" s="357" t="s">
        <v>843</v>
      </c>
      <c r="X28" s="72"/>
      <c r="Y28" s="72"/>
      <c r="AB28" s="356"/>
    </row>
    <row r="29" spans="2:28" ht="12" customHeight="1" x14ac:dyDescent="0.25">
      <c r="B29" s="211" t="s">
        <v>207</v>
      </c>
      <c r="C29" s="292">
        <v>6407772</v>
      </c>
      <c r="D29" s="292">
        <v>7846108</v>
      </c>
      <c r="E29" s="79" t="str">
        <f>+IF(ABS($C29)&gt;='1. 중요성 기준'!$G$62,"Y","N")</f>
        <v>N</v>
      </c>
      <c r="F29" s="67" t="s">
        <v>49</v>
      </c>
      <c r="G29" s="67" t="s">
        <v>49</v>
      </c>
      <c r="H29" s="67" t="s">
        <v>49</v>
      </c>
      <c r="I29" s="67" t="s">
        <v>49</v>
      </c>
      <c r="J29" s="67" t="s">
        <v>49</v>
      </c>
      <c r="K29" s="67" t="s">
        <v>55</v>
      </c>
      <c r="L29" s="67" t="s">
        <v>49</v>
      </c>
      <c r="M29" s="67" t="s">
        <v>49</v>
      </c>
      <c r="N29" s="67" t="s">
        <v>49</v>
      </c>
      <c r="O29" s="67" t="s">
        <v>49</v>
      </c>
      <c r="P29" s="68" t="str">
        <f t="shared" si="0"/>
        <v>N</v>
      </c>
      <c r="Q29" s="217" t="s">
        <v>213</v>
      </c>
      <c r="R29" s="71" t="str">
        <f t="shared" si="2"/>
        <v>N</v>
      </c>
      <c r="S29" s="26"/>
      <c r="T29" s="73"/>
      <c r="U29" s="72"/>
      <c r="V29" s="72"/>
      <c r="W29" s="72"/>
      <c r="X29" s="72"/>
      <c r="Y29" s="72"/>
    </row>
    <row r="30" spans="2:28" ht="12" customHeight="1" x14ac:dyDescent="0.25">
      <c r="B30" s="211" t="s">
        <v>74</v>
      </c>
      <c r="C30" s="292">
        <v>4896947</v>
      </c>
      <c r="D30" s="292">
        <v>6722777</v>
      </c>
      <c r="E30" s="79" t="str">
        <f>+IF(ABS($C30)&gt;='1. 중요성 기준'!$G$62,"Y","N")</f>
        <v>N</v>
      </c>
      <c r="F30" s="67" t="s">
        <v>49</v>
      </c>
      <c r="G30" s="67" t="s">
        <v>49</v>
      </c>
      <c r="H30" s="67" t="s">
        <v>49</v>
      </c>
      <c r="I30" s="67" t="s">
        <v>49</v>
      </c>
      <c r="J30" s="67" t="s">
        <v>49</v>
      </c>
      <c r="K30" s="67" t="s">
        <v>49</v>
      </c>
      <c r="L30" s="67" t="s">
        <v>49</v>
      </c>
      <c r="M30" s="67" t="s">
        <v>49</v>
      </c>
      <c r="N30" s="67" t="s">
        <v>49</v>
      </c>
      <c r="O30" s="67" t="s">
        <v>49</v>
      </c>
      <c r="P30" s="68" t="str">
        <f t="shared" si="0"/>
        <v>N</v>
      </c>
      <c r="Q30" s="217" t="s">
        <v>213</v>
      </c>
      <c r="R30" s="71" t="str">
        <f t="shared" si="2"/>
        <v>N</v>
      </c>
      <c r="S30" s="26"/>
      <c r="T30" s="73"/>
      <c r="U30" s="72"/>
      <c r="V30" s="72"/>
      <c r="W30" s="73"/>
      <c r="X30" s="72"/>
      <c r="Y30" s="73"/>
    </row>
    <row r="31" spans="2:28" ht="12" customHeight="1" x14ac:dyDescent="0.25">
      <c r="B31" s="211" t="s">
        <v>285</v>
      </c>
      <c r="C31" s="292">
        <v>0</v>
      </c>
      <c r="D31" s="292">
        <v>1503230</v>
      </c>
      <c r="E31" s="79" t="str">
        <f>+IF(ABS($C31)&gt;='1. 중요성 기준'!$G$62,"Y","N")</f>
        <v>N</v>
      </c>
      <c r="F31" s="67" t="s">
        <v>49</v>
      </c>
      <c r="G31" s="67" t="s">
        <v>49</v>
      </c>
      <c r="H31" s="67" t="s">
        <v>49</v>
      </c>
      <c r="I31" s="67" t="s">
        <v>49</v>
      </c>
      <c r="J31" s="67" t="s">
        <v>49</v>
      </c>
      <c r="K31" s="67" t="s">
        <v>49</v>
      </c>
      <c r="L31" s="67" t="s">
        <v>49</v>
      </c>
      <c r="M31" s="67" t="s">
        <v>49</v>
      </c>
      <c r="N31" s="67" t="s">
        <v>49</v>
      </c>
      <c r="O31" s="67" t="s">
        <v>49</v>
      </c>
      <c r="P31" s="68" t="str">
        <f t="shared" si="0"/>
        <v>N</v>
      </c>
      <c r="Q31" s="217" t="s">
        <v>213</v>
      </c>
      <c r="R31" s="71" t="str">
        <f t="shared" si="2"/>
        <v>N</v>
      </c>
      <c r="S31" s="26"/>
      <c r="T31" s="73"/>
      <c r="U31" s="72"/>
      <c r="V31" s="72"/>
      <c r="W31" s="72"/>
      <c r="X31" s="72"/>
      <c r="Y31" s="73"/>
    </row>
    <row r="32" spans="2:28" ht="12" customHeight="1" x14ac:dyDescent="0.25">
      <c r="B32" s="211" t="s">
        <v>286</v>
      </c>
      <c r="C32" s="292">
        <v>0</v>
      </c>
      <c r="D32" s="292">
        <v>25345289</v>
      </c>
      <c r="E32" s="79" t="str">
        <f>+IF(ABS($C32)&gt;='1. 중요성 기준'!$G$62,"Y","N")</f>
        <v>N</v>
      </c>
      <c r="F32" s="67" t="s">
        <v>50</v>
      </c>
      <c r="G32" s="67" t="s">
        <v>50</v>
      </c>
      <c r="H32" s="67" t="s">
        <v>50</v>
      </c>
      <c r="I32" s="67" t="s">
        <v>49</v>
      </c>
      <c r="J32" s="67" t="s">
        <v>50</v>
      </c>
      <c r="K32" s="67" t="s">
        <v>49</v>
      </c>
      <c r="L32" s="67" t="s">
        <v>49</v>
      </c>
      <c r="M32" s="67" t="s">
        <v>50</v>
      </c>
      <c r="N32" s="67" t="s">
        <v>49</v>
      </c>
      <c r="O32" s="67" t="s">
        <v>49</v>
      </c>
      <c r="P32" s="68" t="str">
        <f t="shared" si="0"/>
        <v>Y</v>
      </c>
      <c r="Q32" s="217" t="s">
        <v>468</v>
      </c>
      <c r="R32" s="71" t="str">
        <f t="shared" si="2"/>
        <v>Y</v>
      </c>
      <c r="S32" s="26"/>
      <c r="T32" s="73"/>
      <c r="U32" s="72"/>
      <c r="V32" s="72"/>
      <c r="W32" s="73" t="s">
        <v>72</v>
      </c>
      <c r="X32" s="72"/>
      <c r="Y32" s="72"/>
    </row>
    <row r="33" spans="2:25" ht="12" customHeight="1" x14ac:dyDescent="0.25">
      <c r="B33" s="211" t="s">
        <v>382</v>
      </c>
      <c r="C33" s="292">
        <v>5000000</v>
      </c>
      <c r="D33" s="292">
        <v>10000000</v>
      </c>
      <c r="E33" s="79" t="str">
        <f>+IF(ABS($C33)&gt;='1. 중요성 기준'!$G$62,"Y","N")</f>
        <v>N</v>
      </c>
      <c r="F33" s="67" t="s">
        <v>49</v>
      </c>
      <c r="G33" s="67" t="s">
        <v>49</v>
      </c>
      <c r="H33" s="67" t="s">
        <v>49</v>
      </c>
      <c r="I33" s="67" t="s">
        <v>49</v>
      </c>
      <c r="J33" s="67" t="s">
        <v>49</v>
      </c>
      <c r="K33" s="67" t="s">
        <v>49</v>
      </c>
      <c r="L33" s="67" t="s">
        <v>49</v>
      </c>
      <c r="M33" s="67" t="s">
        <v>49</v>
      </c>
      <c r="N33" s="67" t="s">
        <v>49</v>
      </c>
      <c r="O33" s="67" t="s">
        <v>49</v>
      </c>
      <c r="P33" s="68" t="str">
        <f t="shared" si="0"/>
        <v>N</v>
      </c>
      <c r="Q33" s="217" t="s">
        <v>213</v>
      </c>
      <c r="R33" s="71" t="str">
        <f t="shared" si="2"/>
        <v>N</v>
      </c>
      <c r="S33" s="26"/>
      <c r="T33" s="73"/>
      <c r="U33" s="72"/>
      <c r="V33" s="72"/>
      <c r="W33" s="72"/>
      <c r="X33" s="72"/>
      <c r="Y33" s="73"/>
    </row>
    <row r="34" spans="2:25" s="238" customFormat="1" ht="12" customHeight="1" x14ac:dyDescent="0.25">
      <c r="B34" s="234" t="s">
        <v>194</v>
      </c>
      <c r="C34" s="293">
        <v>0</v>
      </c>
      <c r="D34" s="293">
        <v>0</v>
      </c>
      <c r="E34" s="239"/>
      <c r="F34" s="240" t="s">
        <v>50</v>
      </c>
      <c r="G34" s="240" t="s">
        <v>50</v>
      </c>
      <c r="H34" s="240" t="s">
        <v>50</v>
      </c>
      <c r="I34" s="240" t="s">
        <v>50</v>
      </c>
      <c r="J34" s="240" t="s">
        <v>50</v>
      </c>
      <c r="K34" s="240" t="s">
        <v>50</v>
      </c>
      <c r="L34" s="240" t="s">
        <v>50</v>
      </c>
      <c r="M34" s="240" t="s">
        <v>50</v>
      </c>
      <c r="N34" s="240" t="s">
        <v>50</v>
      </c>
      <c r="O34" s="240" t="s">
        <v>50</v>
      </c>
      <c r="P34" s="241" t="str">
        <f t="shared" si="0"/>
        <v>Y</v>
      </c>
      <c r="Q34" s="239"/>
      <c r="R34" s="242"/>
      <c r="S34" s="243"/>
      <c r="T34" s="242"/>
      <c r="U34" s="242"/>
      <c r="V34" s="242"/>
      <c r="W34" s="242"/>
      <c r="X34" s="242"/>
      <c r="Y34" s="242"/>
    </row>
    <row r="35" spans="2:25" s="238" customFormat="1" ht="12" customHeight="1" x14ac:dyDescent="0.25">
      <c r="B35" s="331" t="s">
        <v>388</v>
      </c>
      <c r="C35" s="293">
        <f>C36+C39+C43+C54+C60+C63</f>
        <v>23630026635</v>
      </c>
      <c r="D35" s="293">
        <f>D36+D39+D43+D54+D60+D63</f>
        <v>22188630005</v>
      </c>
      <c r="E35" s="239"/>
      <c r="F35" s="240"/>
      <c r="G35" s="240"/>
      <c r="H35" s="240"/>
      <c r="I35" s="240"/>
      <c r="J35" s="240"/>
      <c r="K35" s="240"/>
      <c r="L35" s="240"/>
      <c r="M35" s="240"/>
      <c r="N35" s="240"/>
      <c r="O35" s="240"/>
      <c r="P35" s="241"/>
      <c r="Q35" s="239"/>
      <c r="R35" s="242"/>
      <c r="S35" s="243"/>
      <c r="T35" s="242"/>
      <c r="U35" s="242"/>
      <c r="V35" s="242"/>
      <c r="W35" s="242"/>
      <c r="X35" s="242"/>
      <c r="Y35" s="242"/>
    </row>
    <row r="36" spans="2:25" s="238" customFormat="1" ht="12" customHeight="1" x14ac:dyDescent="0.25">
      <c r="B36" s="234" t="s">
        <v>398</v>
      </c>
      <c r="C36" s="293">
        <f>SUM(C37:C38)</f>
        <v>3470148450</v>
      </c>
      <c r="D36" s="293">
        <f>SUM(D37:D38)</f>
        <v>1675349527</v>
      </c>
      <c r="E36" s="239"/>
      <c r="F36" s="240"/>
      <c r="G36" s="240"/>
      <c r="H36" s="240"/>
      <c r="I36" s="240"/>
      <c r="J36" s="240"/>
      <c r="K36" s="240"/>
      <c r="L36" s="240"/>
      <c r="M36" s="240"/>
      <c r="N36" s="240"/>
      <c r="O36" s="240"/>
      <c r="P36" s="241"/>
      <c r="Q36" s="239"/>
      <c r="R36" s="242"/>
      <c r="S36" s="243"/>
      <c r="T36" s="242"/>
      <c r="U36" s="242"/>
      <c r="V36" s="242"/>
      <c r="W36" s="242"/>
      <c r="X36" s="242"/>
      <c r="Y36" s="242"/>
    </row>
    <row r="37" spans="2:25" s="339" customFormat="1" ht="12" customHeight="1" x14ac:dyDescent="0.25">
      <c r="B37" s="332" t="s">
        <v>399</v>
      </c>
      <c r="C37" s="333">
        <v>2946952902</v>
      </c>
      <c r="D37" s="333">
        <v>1354621654</v>
      </c>
      <c r="E37" s="79" t="str">
        <f>+IF(ABS($C37)&gt;='1. 중요성 기준'!$G$62,"Y","N")</f>
        <v>Y</v>
      </c>
      <c r="F37" s="335"/>
      <c r="G37" s="335"/>
      <c r="H37" s="335"/>
      <c r="I37" s="335"/>
      <c r="J37" s="335"/>
      <c r="K37" s="335"/>
      <c r="L37" s="335"/>
      <c r="M37" s="335"/>
      <c r="N37" s="335"/>
      <c r="O37" s="335"/>
      <c r="P37" s="336"/>
      <c r="Q37" s="334"/>
      <c r="R37" s="71" t="str">
        <f t="shared" ref="R37:R38" si="3">IF(COUNTIF($E37:$P37,"Y")&gt;0,"Y","N")</f>
        <v>Y</v>
      </c>
      <c r="S37" s="338"/>
      <c r="T37" s="337"/>
      <c r="U37" s="337"/>
      <c r="V37" s="73" t="s">
        <v>72</v>
      </c>
      <c r="W37" s="357" t="s">
        <v>843</v>
      </c>
      <c r="X37" s="337"/>
      <c r="Y37" s="337"/>
    </row>
    <row r="38" spans="2:25" s="339" customFormat="1" ht="12" customHeight="1" x14ac:dyDescent="0.25">
      <c r="B38" s="332" t="s">
        <v>400</v>
      </c>
      <c r="C38" s="333">
        <v>523195548</v>
      </c>
      <c r="D38" s="333">
        <v>320727873</v>
      </c>
      <c r="E38" s="79" t="str">
        <f>+IF(ABS($C38)&gt;='1. 중요성 기준'!$G$62,"Y","N")</f>
        <v>Y</v>
      </c>
      <c r="F38" s="335"/>
      <c r="G38" s="335"/>
      <c r="H38" s="335"/>
      <c r="I38" s="335"/>
      <c r="J38" s="335"/>
      <c r="K38" s="335"/>
      <c r="L38" s="335"/>
      <c r="M38" s="335"/>
      <c r="N38" s="335"/>
      <c r="O38" s="335"/>
      <c r="P38" s="336"/>
      <c r="Q38" s="334"/>
      <c r="R38" s="71" t="str">
        <f t="shared" si="3"/>
        <v>Y</v>
      </c>
      <c r="S38" s="338"/>
      <c r="T38" s="337"/>
      <c r="U38" s="337"/>
      <c r="V38" s="73" t="s">
        <v>72</v>
      </c>
      <c r="W38" s="357" t="s">
        <v>843</v>
      </c>
      <c r="X38" s="337"/>
      <c r="Y38" s="337"/>
    </row>
    <row r="39" spans="2:25" s="238" customFormat="1" ht="12" customHeight="1" x14ac:dyDescent="0.25">
      <c r="B39" s="234" t="s">
        <v>401</v>
      </c>
      <c r="C39" s="293">
        <f>SUM(C40:C42)</f>
        <v>1443829918</v>
      </c>
      <c r="D39" s="293">
        <f>SUM(D40:D42)</f>
        <v>1469045104</v>
      </c>
      <c r="E39" s="239"/>
      <c r="F39" s="240"/>
      <c r="G39" s="240"/>
      <c r="H39" s="240"/>
      <c r="I39" s="240"/>
      <c r="J39" s="240"/>
      <c r="K39" s="240"/>
      <c r="L39" s="240"/>
      <c r="M39" s="240"/>
      <c r="N39" s="240"/>
      <c r="O39" s="240"/>
      <c r="P39" s="241"/>
      <c r="Q39" s="239"/>
      <c r="R39" s="242"/>
      <c r="S39" s="243"/>
      <c r="T39" s="242"/>
      <c r="U39" s="242"/>
      <c r="V39" s="242"/>
      <c r="W39" s="242"/>
      <c r="X39" s="242"/>
      <c r="Y39" s="242"/>
    </row>
    <row r="40" spans="2:25" s="339" customFormat="1" ht="12" customHeight="1" x14ac:dyDescent="0.25">
      <c r="B40" s="332" t="s">
        <v>390</v>
      </c>
      <c r="C40" s="333">
        <v>738080364</v>
      </c>
      <c r="D40" s="333">
        <v>738080364</v>
      </c>
      <c r="E40" s="79" t="str">
        <f>+IF(ABS($C40)&gt;='1. 중요성 기준'!$G$62,"Y","N")</f>
        <v>Y</v>
      </c>
      <c r="F40" s="335"/>
      <c r="G40" s="335"/>
      <c r="H40" s="335"/>
      <c r="I40" s="335"/>
      <c r="J40" s="335"/>
      <c r="K40" s="335"/>
      <c r="L40" s="335"/>
      <c r="M40" s="335"/>
      <c r="N40" s="335"/>
      <c r="O40" s="335"/>
      <c r="P40" s="336"/>
      <c r="Q40" s="334"/>
      <c r="R40" s="71" t="str">
        <f t="shared" ref="R40:R42" si="4">IF(COUNTIF($E40:$P40,"Y")&gt;0,"Y","N")</f>
        <v>Y</v>
      </c>
      <c r="S40" s="338"/>
      <c r="T40" s="337"/>
      <c r="U40" s="337"/>
      <c r="V40" s="337"/>
      <c r="W40" s="357" t="s">
        <v>843</v>
      </c>
      <c r="X40" s="337"/>
      <c r="Y40" s="73" t="s">
        <v>72</v>
      </c>
    </row>
    <row r="41" spans="2:25" s="339" customFormat="1" ht="12" customHeight="1" x14ac:dyDescent="0.25">
      <c r="B41" s="332" t="s">
        <v>391</v>
      </c>
      <c r="C41" s="333">
        <v>1008607517</v>
      </c>
      <c r="D41" s="333">
        <v>1008607517</v>
      </c>
      <c r="E41" s="79" t="str">
        <f>+IF(ABS($C41)&gt;='1. 중요성 기준'!$G$62,"Y","N")</f>
        <v>Y</v>
      </c>
      <c r="F41" s="335"/>
      <c r="G41" s="335"/>
      <c r="H41" s="335"/>
      <c r="I41" s="335"/>
      <c r="J41" s="335"/>
      <c r="K41" s="335"/>
      <c r="L41" s="335"/>
      <c r="M41" s="335"/>
      <c r="N41" s="335"/>
      <c r="O41" s="335"/>
      <c r="P41" s="336"/>
      <c r="Q41" s="334"/>
      <c r="R41" s="71" t="str">
        <f t="shared" si="4"/>
        <v>Y</v>
      </c>
      <c r="S41" s="338"/>
      <c r="T41" s="337"/>
      <c r="U41" s="337"/>
      <c r="V41" s="337"/>
      <c r="W41" s="357" t="s">
        <v>843</v>
      </c>
      <c r="X41" s="337"/>
      <c r="Y41" s="73" t="s">
        <v>72</v>
      </c>
    </row>
    <row r="42" spans="2:25" s="339" customFormat="1" ht="12" customHeight="1" x14ac:dyDescent="0.25">
      <c r="B42" s="332" t="s">
        <v>392</v>
      </c>
      <c r="C42" s="333">
        <v>-302857963</v>
      </c>
      <c r="D42" s="333">
        <v>-277642777</v>
      </c>
      <c r="E42" s="79" t="str">
        <f>+IF(ABS($C42)&gt;='1. 중요성 기준'!$G$62,"Y","N")</f>
        <v>Y</v>
      </c>
      <c r="F42" s="335"/>
      <c r="G42" s="335"/>
      <c r="H42" s="335"/>
      <c r="I42" s="335"/>
      <c r="J42" s="335"/>
      <c r="K42" s="335"/>
      <c r="L42" s="335"/>
      <c r="M42" s="335"/>
      <c r="N42" s="335"/>
      <c r="O42" s="335"/>
      <c r="P42" s="336"/>
      <c r="Q42" s="334"/>
      <c r="R42" s="71" t="str">
        <f t="shared" si="4"/>
        <v>Y</v>
      </c>
      <c r="S42" s="338"/>
      <c r="T42" s="337"/>
      <c r="U42" s="337"/>
      <c r="V42" s="337"/>
      <c r="W42" s="357" t="s">
        <v>843</v>
      </c>
      <c r="X42" s="337"/>
      <c r="Y42" s="73" t="s">
        <v>72</v>
      </c>
    </row>
    <row r="43" spans="2:25" s="233" customFormat="1" ht="12" customHeight="1" x14ac:dyDescent="0.25">
      <c r="B43" s="234" t="s">
        <v>402</v>
      </c>
      <c r="C43" s="293">
        <f>SUM(C44:C53)</f>
        <v>18481114050</v>
      </c>
      <c r="D43" s="293">
        <f>SUM(D44:D53)</f>
        <v>18756617793</v>
      </c>
      <c r="E43" s="235"/>
      <c r="F43" s="240"/>
      <c r="G43" s="240"/>
      <c r="H43" s="240"/>
      <c r="I43" s="240"/>
      <c r="J43" s="240"/>
      <c r="K43" s="240"/>
      <c r="L43" s="240"/>
      <c r="M43" s="240"/>
      <c r="N43" s="240"/>
      <c r="O43" s="240"/>
      <c r="P43" s="241"/>
      <c r="Q43" s="235"/>
      <c r="R43" s="230"/>
      <c r="S43" s="237"/>
      <c r="T43" s="230"/>
      <c r="U43" s="230"/>
      <c r="V43" s="230"/>
      <c r="W43" s="230"/>
      <c r="X43" s="230"/>
      <c r="Y43" s="230"/>
    </row>
    <row r="44" spans="2:25" ht="12" customHeight="1" x14ac:dyDescent="0.25">
      <c r="B44" s="211" t="s">
        <v>169</v>
      </c>
      <c r="C44" s="292">
        <v>4544533340</v>
      </c>
      <c r="D44" s="292">
        <v>4544533340</v>
      </c>
      <c r="E44" s="79" t="str">
        <f>+IF(ABS($C44)&gt;='1. 중요성 기준'!$G$62,"Y","N")</f>
        <v>Y</v>
      </c>
      <c r="F44" s="67" t="s">
        <v>55</v>
      </c>
      <c r="G44" s="67" t="s">
        <v>49</v>
      </c>
      <c r="H44" s="67" t="s">
        <v>49</v>
      </c>
      <c r="I44" s="67" t="s">
        <v>49</v>
      </c>
      <c r="J44" s="67" t="s">
        <v>55</v>
      </c>
      <c r="K44" s="67" t="s">
        <v>49</v>
      </c>
      <c r="L44" s="67" t="s">
        <v>55</v>
      </c>
      <c r="M44" s="67" t="s">
        <v>49</v>
      </c>
      <c r="N44" s="67" t="s">
        <v>49</v>
      </c>
      <c r="O44" s="67" t="s">
        <v>49</v>
      </c>
      <c r="P44" s="68" t="str">
        <f t="shared" ref="P44:P65" si="5">IF(SUM(COUNTIF($F44:$O44,"High")*$C$12+COUNTIF($F44:$O44,"Medium")*$C$13+COUNTIF($F44:$O44,"Low")*$C$14)/10&gt;=2,"Y","N")</f>
        <v>N</v>
      </c>
      <c r="Q44" s="217"/>
      <c r="R44" s="71" t="str">
        <f t="shared" ref="R44:R53" si="6">IF(COUNTIF($E44:$P44,"Y")&gt;0,"Y","N")</f>
        <v>Y</v>
      </c>
      <c r="S44" s="26"/>
      <c r="T44" s="73"/>
      <c r="U44" s="73"/>
      <c r="V44" s="73"/>
      <c r="W44" s="357" t="s">
        <v>843</v>
      </c>
      <c r="X44" s="73"/>
      <c r="Y44" s="73" t="s">
        <v>72</v>
      </c>
    </row>
    <row r="45" spans="2:25" ht="12" customHeight="1" x14ac:dyDescent="0.25">
      <c r="B45" s="211" t="s">
        <v>170</v>
      </c>
      <c r="C45" s="292">
        <v>14012218982</v>
      </c>
      <c r="D45" s="292">
        <v>14012218982</v>
      </c>
      <c r="E45" s="79" t="str">
        <f>+IF(ABS($C45)&gt;='1. 중요성 기준'!$G$62,"Y","N")</f>
        <v>Y</v>
      </c>
      <c r="F45" s="67" t="s">
        <v>55</v>
      </c>
      <c r="G45" s="67" t="s">
        <v>49</v>
      </c>
      <c r="H45" s="67" t="s">
        <v>49</v>
      </c>
      <c r="I45" s="67" t="s">
        <v>49</v>
      </c>
      <c r="J45" s="67" t="s">
        <v>55</v>
      </c>
      <c r="K45" s="67" t="s">
        <v>49</v>
      </c>
      <c r="L45" s="67" t="s">
        <v>55</v>
      </c>
      <c r="M45" s="67" t="s">
        <v>49</v>
      </c>
      <c r="N45" s="67" t="s">
        <v>49</v>
      </c>
      <c r="O45" s="67" t="s">
        <v>49</v>
      </c>
      <c r="P45" s="68" t="str">
        <f t="shared" si="5"/>
        <v>N</v>
      </c>
      <c r="Q45" s="217"/>
      <c r="R45" s="71" t="str">
        <f t="shared" si="6"/>
        <v>Y</v>
      </c>
      <c r="S45" s="26"/>
      <c r="T45" s="73"/>
      <c r="U45" s="73"/>
      <c r="V45" s="73"/>
      <c r="W45" s="357" t="s">
        <v>843</v>
      </c>
      <c r="X45" s="73"/>
      <c r="Y45" s="73" t="s">
        <v>72</v>
      </c>
    </row>
    <row r="46" spans="2:25" ht="12" customHeight="1" x14ac:dyDescent="0.25">
      <c r="B46" s="211" t="s">
        <v>268</v>
      </c>
      <c r="C46" s="292">
        <v>-437881842</v>
      </c>
      <c r="D46" s="292">
        <v>-87576368</v>
      </c>
      <c r="E46" s="79" t="str">
        <f>+IF(ABS($C46)&gt;='1. 중요성 기준'!$G$62,"Y","N")</f>
        <v>Y</v>
      </c>
      <c r="F46" s="67" t="s">
        <v>55</v>
      </c>
      <c r="G46" s="67" t="s">
        <v>49</v>
      </c>
      <c r="H46" s="67" t="s">
        <v>49</v>
      </c>
      <c r="I46" s="67" t="s">
        <v>49</v>
      </c>
      <c r="J46" s="67" t="s">
        <v>55</v>
      </c>
      <c r="K46" s="67" t="s">
        <v>49</v>
      </c>
      <c r="L46" s="67" t="s">
        <v>55</v>
      </c>
      <c r="M46" s="67" t="s">
        <v>49</v>
      </c>
      <c r="N46" s="67" t="s">
        <v>49</v>
      </c>
      <c r="O46" s="67" t="s">
        <v>49</v>
      </c>
      <c r="P46" s="68" t="str">
        <f t="shared" si="5"/>
        <v>N</v>
      </c>
      <c r="Q46" s="217"/>
      <c r="R46" s="71" t="str">
        <f t="shared" si="6"/>
        <v>Y</v>
      </c>
      <c r="S46" s="26"/>
      <c r="T46" s="73"/>
      <c r="U46" s="73"/>
      <c r="V46" s="73"/>
      <c r="W46" s="357" t="s">
        <v>843</v>
      </c>
      <c r="X46" s="73"/>
      <c r="Y46" s="73" t="s">
        <v>72</v>
      </c>
    </row>
    <row r="47" spans="2:25" ht="12" customHeight="1" x14ac:dyDescent="0.25">
      <c r="B47" s="211" t="s">
        <v>383</v>
      </c>
      <c r="C47" s="292">
        <v>71400000</v>
      </c>
      <c r="D47" s="292">
        <v>71400000</v>
      </c>
      <c r="E47" s="79" t="str">
        <f>+IF(ABS($C47)&gt;='1. 중요성 기준'!$G$62,"Y","N")</f>
        <v>N</v>
      </c>
      <c r="F47" s="67" t="s">
        <v>55</v>
      </c>
      <c r="G47" s="67" t="s">
        <v>49</v>
      </c>
      <c r="H47" s="67" t="s">
        <v>49</v>
      </c>
      <c r="I47" s="67" t="s">
        <v>49</v>
      </c>
      <c r="J47" s="67" t="s">
        <v>55</v>
      </c>
      <c r="K47" s="67" t="s">
        <v>49</v>
      </c>
      <c r="L47" s="67" t="s">
        <v>55</v>
      </c>
      <c r="M47" s="67" t="s">
        <v>49</v>
      </c>
      <c r="N47" s="67" t="s">
        <v>49</v>
      </c>
      <c r="O47" s="67" t="s">
        <v>49</v>
      </c>
      <c r="P47" s="68" t="str">
        <f t="shared" si="5"/>
        <v>N</v>
      </c>
      <c r="Q47" s="217" t="s">
        <v>213</v>
      </c>
      <c r="R47" s="71" t="str">
        <f t="shared" si="6"/>
        <v>N</v>
      </c>
      <c r="S47" s="26"/>
      <c r="T47" s="73"/>
      <c r="U47" s="73"/>
      <c r="V47" s="73"/>
      <c r="W47" s="73"/>
      <c r="X47" s="73"/>
      <c r="Y47" s="73"/>
    </row>
    <row r="48" spans="2:25" ht="12" customHeight="1" x14ac:dyDescent="0.25">
      <c r="B48" s="211" t="s">
        <v>384</v>
      </c>
      <c r="C48" s="292">
        <v>-71399000</v>
      </c>
      <c r="D48" s="292">
        <v>-71399000</v>
      </c>
      <c r="E48" s="79" t="str">
        <f>+IF(ABS($C48)&gt;='1. 중요성 기준'!$G$62,"Y","N")</f>
        <v>N</v>
      </c>
      <c r="F48" s="67" t="s">
        <v>55</v>
      </c>
      <c r="G48" s="67" t="s">
        <v>49</v>
      </c>
      <c r="H48" s="67" t="s">
        <v>49</v>
      </c>
      <c r="I48" s="67" t="s">
        <v>49</v>
      </c>
      <c r="J48" s="67" t="s">
        <v>55</v>
      </c>
      <c r="K48" s="67" t="s">
        <v>49</v>
      </c>
      <c r="L48" s="67" t="s">
        <v>55</v>
      </c>
      <c r="M48" s="67" t="s">
        <v>49</v>
      </c>
      <c r="N48" s="67" t="s">
        <v>49</v>
      </c>
      <c r="O48" s="67" t="s">
        <v>49</v>
      </c>
      <c r="P48" s="68" t="str">
        <f t="shared" si="5"/>
        <v>N</v>
      </c>
      <c r="Q48" s="217" t="s">
        <v>213</v>
      </c>
      <c r="R48" s="71" t="str">
        <f t="shared" si="6"/>
        <v>N</v>
      </c>
      <c r="S48" s="26"/>
      <c r="T48" s="73"/>
      <c r="U48" s="73"/>
      <c r="V48" s="73"/>
      <c r="W48" s="73"/>
      <c r="X48" s="73"/>
      <c r="Y48" s="73"/>
    </row>
    <row r="49" spans="2:25" ht="12" customHeight="1" x14ac:dyDescent="0.25">
      <c r="B49" s="211" t="s">
        <v>287</v>
      </c>
      <c r="C49" s="292">
        <v>472489866</v>
      </c>
      <c r="D49" s="292">
        <v>372165127</v>
      </c>
      <c r="E49" s="79" t="str">
        <f>+IF(ABS($C49)&gt;='1. 중요성 기준'!$G$62,"Y","N")</f>
        <v>Y</v>
      </c>
      <c r="F49" s="67"/>
      <c r="G49" s="67"/>
      <c r="H49" s="67"/>
      <c r="I49" s="67"/>
      <c r="J49" s="67"/>
      <c r="K49" s="67"/>
      <c r="L49" s="67"/>
      <c r="M49" s="67"/>
      <c r="N49" s="67"/>
      <c r="O49" s="67"/>
      <c r="P49" s="68" t="str">
        <f t="shared" si="5"/>
        <v>N</v>
      </c>
      <c r="Q49" s="217"/>
      <c r="R49" s="71" t="str">
        <f t="shared" si="6"/>
        <v>Y</v>
      </c>
      <c r="S49" s="26"/>
      <c r="T49" s="73"/>
      <c r="U49" s="73"/>
      <c r="V49" s="73"/>
      <c r="W49" s="357" t="s">
        <v>843</v>
      </c>
      <c r="X49" s="73"/>
      <c r="Y49" s="73" t="s">
        <v>72</v>
      </c>
    </row>
    <row r="50" spans="2:25" ht="12" customHeight="1" x14ac:dyDescent="0.25">
      <c r="B50" s="211" t="s">
        <v>288</v>
      </c>
      <c r="C50" s="292">
        <v>-181126236</v>
      </c>
      <c r="D50" s="292">
        <v>-109556795</v>
      </c>
      <c r="E50" s="79" t="str">
        <f>+IF(ABS($C50)&gt;='1. 중요성 기준'!$G$62,"Y","N")</f>
        <v>Y</v>
      </c>
      <c r="F50" s="67"/>
      <c r="G50" s="67"/>
      <c r="H50" s="67"/>
      <c r="I50" s="67"/>
      <c r="J50" s="67"/>
      <c r="K50" s="67"/>
      <c r="L50" s="67"/>
      <c r="M50" s="67"/>
      <c r="N50" s="67"/>
      <c r="O50" s="67"/>
      <c r="P50" s="68" t="str">
        <f t="shared" si="5"/>
        <v>N</v>
      </c>
      <c r="Q50" s="217"/>
      <c r="R50" s="71" t="str">
        <f t="shared" si="6"/>
        <v>Y</v>
      </c>
      <c r="S50" s="26"/>
      <c r="T50" s="73"/>
      <c r="U50" s="73"/>
      <c r="V50" s="73"/>
      <c r="W50" s="357" t="s">
        <v>843</v>
      </c>
      <c r="X50" s="73"/>
      <c r="Y50" s="73" t="s">
        <v>72</v>
      </c>
    </row>
    <row r="51" spans="2:25" ht="12" customHeight="1" x14ac:dyDescent="0.25">
      <c r="B51" s="211" t="s">
        <v>385</v>
      </c>
      <c r="C51" s="292">
        <v>-6788</v>
      </c>
      <c r="D51" s="292">
        <v>-187958</v>
      </c>
      <c r="E51" s="79" t="str">
        <f>+IF(ABS($C51)&gt;='1. 중요성 기준'!$G$62,"Y","N")</f>
        <v>N</v>
      </c>
      <c r="F51" s="67" t="s">
        <v>55</v>
      </c>
      <c r="G51" s="67" t="s">
        <v>49</v>
      </c>
      <c r="H51" s="67" t="s">
        <v>49</v>
      </c>
      <c r="I51" s="67" t="s">
        <v>49</v>
      </c>
      <c r="J51" s="67" t="s">
        <v>55</v>
      </c>
      <c r="K51" s="67" t="s">
        <v>49</v>
      </c>
      <c r="L51" s="67" t="s">
        <v>55</v>
      </c>
      <c r="M51" s="67" t="s">
        <v>49</v>
      </c>
      <c r="N51" s="67" t="s">
        <v>49</v>
      </c>
      <c r="O51" s="67" t="s">
        <v>49</v>
      </c>
      <c r="P51" s="68" t="str">
        <f t="shared" si="5"/>
        <v>N</v>
      </c>
      <c r="Q51" s="217" t="s">
        <v>213</v>
      </c>
      <c r="R51" s="71" t="str">
        <f t="shared" si="6"/>
        <v>N</v>
      </c>
      <c r="S51" s="26"/>
      <c r="T51" s="73"/>
      <c r="U51" s="73"/>
      <c r="V51" s="73"/>
      <c r="W51" s="73"/>
      <c r="X51" s="73"/>
      <c r="Y51" s="73"/>
    </row>
    <row r="52" spans="2:25" ht="12" customHeight="1" x14ac:dyDescent="0.25">
      <c r="B52" s="211" t="s">
        <v>386</v>
      </c>
      <c r="C52" s="292">
        <v>181301817</v>
      </c>
      <c r="D52" s="292">
        <v>119347272</v>
      </c>
      <c r="E52" s="79" t="str">
        <f>+IF(ABS($C52)&gt;='1. 중요성 기준'!$G$62,"Y","N")</f>
        <v>Y</v>
      </c>
      <c r="F52" s="67" t="s">
        <v>49</v>
      </c>
      <c r="G52" s="67" t="s">
        <v>49</v>
      </c>
      <c r="H52" s="67" t="s">
        <v>49</v>
      </c>
      <c r="I52" s="67" t="s">
        <v>49</v>
      </c>
      <c r="J52" s="67" t="s">
        <v>49</v>
      </c>
      <c r="K52" s="67" t="s">
        <v>49</v>
      </c>
      <c r="L52" s="67" t="s">
        <v>49</v>
      </c>
      <c r="M52" s="67" t="s">
        <v>49</v>
      </c>
      <c r="N52" s="67" t="s">
        <v>49</v>
      </c>
      <c r="O52" s="67" t="s">
        <v>49</v>
      </c>
      <c r="P52" s="68" t="str">
        <f>IF(SUM(COUNTIF($F52:$O52,"High")*$C$12+COUNTIF($F52:$O52,"Medium")*$C$13+COUNTIF($F52:$O52,"Low")*$C$14)/10&gt;=2,"Y","N")</f>
        <v>N</v>
      </c>
      <c r="Q52" s="217"/>
      <c r="R52" s="71" t="str">
        <f t="shared" si="6"/>
        <v>Y</v>
      </c>
      <c r="S52" s="26"/>
      <c r="T52" s="73"/>
      <c r="U52" s="73"/>
      <c r="V52" s="73"/>
      <c r="W52" s="357" t="s">
        <v>843</v>
      </c>
      <c r="X52" s="73"/>
      <c r="Y52" s="73" t="s">
        <v>72</v>
      </c>
    </row>
    <row r="53" spans="2:25" ht="12" customHeight="1" x14ac:dyDescent="0.25">
      <c r="B53" s="211" t="s">
        <v>387</v>
      </c>
      <c r="C53" s="292">
        <v>-110416089</v>
      </c>
      <c r="D53" s="292">
        <v>-94326807</v>
      </c>
      <c r="E53" s="79" t="str">
        <f>+IF(ABS($C53)&gt;='1. 중요성 기준'!$G$62,"Y","N")</f>
        <v>N</v>
      </c>
      <c r="F53" s="67" t="s">
        <v>49</v>
      </c>
      <c r="G53" s="67" t="s">
        <v>49</v>
      </c>
      <c r="H53" s="67" t="s">
        <v>55</v>
      </c>
      <c r="I53" s="67" t="s">
        <v>49</v>
      </c>
      <c r="J53" s="67" t="s">
        <v>49</v>
      </c>
      <c r="K53" s="67" t="s">
        <v>49</v>
      </c>
      <c r="L53" s="67" t="s">
        <v>49</v>
      </c>
      <c r="M53" s="67" t="s">
        <v>49</v>
      </c>
      <c r="N53" s="67" t="s">
        <v>49</v>
      </c>
      <c r="O53" s="67" t="s">
        <v>49</v>
      </c>
      <c r="P53" s="68" t="str">
        <f t="shared" si="5"/>
        <v>N</v>
      </c>
      <c r="Q53" s="217" t="s">
        <v>213</v>
      </c>
      <c r="R53" s="71" t="str">
        <f t="shared" si="6"/>
        <v>N</v>
      </c>
      <c r="S53" s="26"/>
      <c r="T53" s="73"/>
      <c r="U53" s="73"/>
      <c r="V53" s="73"/>
      <c r="W53" s="73"/>
      <c r="X53" s="73"/>
      <c r="Y53" s="73"/>
    </row>
    <row r="54" spans="2:25" s="233" customFormat="1" ht="12" customHeight="1" x14ac:dyDescent="0.25">
      <c r="B54" s="234" t="s">
        <v>403</v>
      </c>
      <c r="C54" s="293">
        <f>SUM(C55:C59)</f>
        <v>101297830</v>
      </c>
      <c r="D54" s="293">
        <f>SUM(D55:D59)</f>
        <v>105568962</v>
      </c>
      <c r="E54" s="235"/>
      <c r="F54" s="240"/>
      <c r="G54" s="240"/>
      <c r="H54" s="240"/>
      <c r="I54" s="240"/>
      <c r="J54" s="240"/>
      <c r="K54" s="240"/>
      <c r="L54" s="240"/>
      <c r="M54" s="240"/>
      <c r="N54" s="240"/>
      <c r="O54" s="240"/>
      <c r="P54" s="241"/>
      <c r="Q54" s="235"/>
      <c r="R54" s="230"/>
      <c r="S54" s="237"/>
      <c r="T54" s="230"/>
      <c r="U54" s="230"/>
      <c r="V54" s="230"/>
      <c r="W54" s="230"/>
      <c r="X54" s="230"/>
      <c r="Y54" s="230"/>
    </row>
    <row r="55" spans="2:25" ht="12" customHeight="1" x14ac:dyDescent="0.25">
      <c r="B55" s="211" t="s">
        <v>393</v>
      </c>
      <c r="C55" s="292">
        <v>5168041</v>
      </c>
      <c r="D55" s="292">
        <v>9188849</v>
      </c>
      <c r="E55" s="79" t="str">
        <f>+IF(ABS($C55)&gt;='1. 중요성 기준'!$G$62,"Y","N")</f>
        <v>N</v>
      </c>
      <c r="F55" s="67" t="s">
        <v>49</v>
      </c>
      <c r="G55" s="67" t="s">
        <v>49</v>
      </c>
      <c r="H55" s="67" t="s">
        <v>55</v>
      </c>
      <c r="I55" s="67" t="s">
        <v>49</v>
      </c>
      <c r="J55" s="67" t="s">
        <v>49</v>
      </c>
      <c r="K55" s="67" t="s">
        <v>49</v>
      </c>
      <c r="L55" s="67" t="s">
        <v>49</v>
      </c>
      <c r="M55" s="67" t="s">
        <v>49</v>
      </c>
      <c r="N55" s="67" t="s">
        <v>49</v>
      </c>
      <c r="O55" s="67" t="s">
        <v>49</v>
      </c>
      <c r="P55" s="68" t="str">
        <f t="shared" si="5"/>
        <v>N</v>
      </c>
      <c r="Q55" s="217" t="s">
        <v>213</v>
      </c>
      <c r="R55" s="71" t="str">
        <f t="shared" ref="R55:R59" si="7">IF(COUNTIF($E55:$P55,"Y")&gt;0,"Y","N")</f>
        <v>N</v>
      </c>
      <c r="S55" s="26"/>
      <c r="T55" s="73"/>
      <c r="U55" s="72"/>
      <c r="V55" s="72"/>
      <c r="W55" s="73"/>
      <c r="X55" s="73"/>
      <c r="Y55" s="73"/>
    </row>
    <row r="56" spans="2:25" ht="12" customHeight="1" x14ac:dyDescent="0.25">
      <c r="B56" s="211" t="s">
        <v>394</v>
      </c>
      <c r="C56" s="292">
        <v>-1594828</v>
      </c>
      <c r="D56" s="292">
        <v>-2855037</v>
      </c>
      <c r="E56" s="79" t="str">
        <f>+IF(ABS($C56)&gt;='1. 중요성 기준'!$G$62,"Y","N")</f>
        <v>N</v>
      </c>
      <c r="F56" s="67" t="s">
        <v>49</v>
      </c>
      <c r="G56" s="67" t="s">
        <v>49</v>
      </c>
      <c r="H56" s="67" t="s">
        <v>55</v>
      </c>
      <c r="I56" s="67" t="s">
        <v>49</v>
      </c>
      <c r="J56" s="67" t="s">
        <v>49</v>
      </c>
      <c r="K56" s="67" t="s">
        <v>49</v>
      </c>
      <c r="L56" s="67" t="s">
        <v>49</v>
      </c>
      <c r="M56" s="67" t="s">
        <v>49</v>
      </c>
      <c r="N56" s="67" t="s">
        <v>49</v>
      </c>
      <c r="O56" s="67" t="s">
        <v>49</v>
      </c>
      <c r="P56" s="68" t="str">
        <f t="shared" si="5"/>
        <v>N</v>
      </c>
      <c r="Q56" s="217" t="s">
        <v>213</v>
      </c>
      <c r="R56" s="71" t="str">
        <f t="shared" si="7"/>
        <v>N</v>
      </c>
      <c r="S56" s="26"/>
      <c r="T56" s="73"/>
      <c r="U56" s="72"/>
      <c r="V56" s="72"/>
      <c r="W56" s="73"/>
      <c r="X56" s="73"/>
      <c r="Y56" s="73"/>
    </row>
    <row r="57" spans="2:25" ht="12" customHeight="1" x14ac:dyDescent="0.25">
      <c r="B57" s="211" t="s">
        <v>395</v>
      </c>
      <c r="C57" s="292">
        <v>468867</v>
      </c>
      <c r="D57" s="292">
        <v>6000</v>
      </c>
      <c r="E57" s="79" t="str">
        <f>+IF(ABS($C57)&gt;='1. 중요성 기준'!$G$62,"Y","N")</f>
        <v>N</v>
      </c>
      <c r="F57" s="67" t="s">
        <v>49</v>
      </c>
      <c r="G57" s="67" t="s">
        <v>49</v>
      </c>
      <c r="H57" s="67" t="s">
        <v>55</v>
      </c>
      <c r="I57" s="67" t="s">
        <v>49</v>
      </c>
      <c r="J57" s="67" t="s">
        <v>49</v>
      </c>
      <c r="K57" s="67" t="s">
        <v>49</v>
      </c>
      <c r="L57" s="67" t="s">
        <v>49</v>
      </c>
      <c r="M57" s="67" t="s">
        <v>49</v>
      </c>
      <c r="N57" s="67" t="s">
        <v>49</v>
      </c>
      <c r="O57" s="67" t="s">
        <v>49</v>
      </c>
      <c r="P57" s="68" t="str">
        <f t="shared" si="5"/>
        <v>N</v>
      </c>
      <c r="Q57" s="217" t="s">
        <v>213</v>
      </c>
      <c r="R57" s="71" t="str">
        <f t="shared" si="7"/>
        <v>N</v>
      </c>
      <c r="S57" s="26"/>
      <c r="T57" s="73"/>
      <c r="U57" s="72"/>
      <c r="V57" s="72"/>
      <c r="W57" s="73"/>
      <c r="X57" s="73"/>
      <c r="Y57" s="73"/>
    </row>
    <row r="58" spans="2:25" ht="12" customHeight="1" x14ac:dyDescent="0.25">
      <c r="B58" s="211" t="s">
        <v>396</v>
      </c>
      <c r="C58" s="292">
        <v>5755750</v>
      </c>
      <c r="D58" s="292">
        <v>7729150</v>
      </c>
      <c r="E58" s="79" t="str">
        <f>+IF(ABS($C58)&gt;='1. 중요성 기준'!$G$62,"Y","N")</f>
        <v>N</v>
      </c>
      <c r="F58" s="67" t="s">
        <v>49</v>
      </c>
      <c r="G58" s="67" t="s">
        <v>49</v>
      </c>
      <c r="H58" s="67" t="s">
        <v>55</v>
      </c>
      <c r="I58" s="67" t="s">
        <v>49</v>
      </c>
      <c r="J58" s="67" t="s">
        <v>49</v>
      </c>
      <c r="K58" s="67" t="s">
        <v>49</v>
      </c>
      <c r="L58" s="67" t="s">
        <v>49</v>
      </c>
      <c r="M58" s="67" t="s">
        <v>49</v>
      </c>
      <c r="N58" s="67" t="s">
        <v>49</v>
      </c>
      <c r="O58" s="67" t="s">
        <v>49</v>
      </c>
      <c r="P58" s="68" t="str">
        <f t="shared" si="5"/>
        <v>N</v>
      </c>
      <c r="Q58" s="217" t="s">
        <v>213</v>
      </c>
      <c r="R58" s="71" t="str">
        <f t="shared" si="7"/>
        <v>N</v>
      </c>
      <c r="S58" s="26"/>
      <c r="T58" s="73"/>
      <c r="U58" s="72"/>
      <c r="V58" s="72"/>
      <c r="W58" s="73"/>
      <c r="X58" s="73"/>
      <c r="Y58" s="73"/>
    </row>
    <row r="59" spans="2:25" ht="12" customHeight="1" x14ac:dyDescent="0.25">
      <c r="B59" s="211" t="s">
        <v>289</v>
      </c>
      <c r="C59" s="292">
        <v>91500000</v>
      </c>
      <c r="D59" s="292">
        <v>91500000</v>
      </c>
      <c r="E59" s="79" t="str">
        <f>+IF(ABS($C59)&gt;='1. 중요성 기준'!$G$62,"Y","N")</f>
        <v>N</v>
      </c>
      <c r="F59" s="67" t="s">
        <v>49</v>
      </c>
      <c r="G59" s="67" t="s">
        <v>49</v>
      </c>
      <c r="H59" s="67" t="s">
        <v>55</v>
      </c>
      <c r="I59" s="67" t="s">
        <v>49</v>
      </c>
      <c r="J59" s="67" t="s">
        <v>49</v>
      </c>
      <c r="K59" s="67" t="s">
        <v>49</v>
      </c>
      <c r="L59" s="67" t="s">
        <v>49</v>
      </c>
      <c r="M59" s="67" t="s">
        <v>49</v>
      </c>
      <c r="N59" s="67" t="s">
        <v>49</v>
      </c>
      <c r="O59" s="67" t="s">
        <v>49</v>
      </c>
      <c r="P59" s="68" t="str">
        <f t="shared" si="5"/>
        <v>N</v>
      </c>
      <c r="Q59" s="217" t="s">
        <v>213</v>
      </c>
      <c r="R59" s="71" t="str">
        <f t="shared" si="7"/>
        <v>N</v>
      </c>
      <c r="S59" s="26"/>
      <c r="T59" s="73"/>
      <c r="U59" s="72"/>
      <c r="V59" s="72"/>
      <c r="W59" s="73"/>
      <c r="X59" s="73"/>
      <c r="Y59" s="73"/>
    </row>
    <row r="60" spans="2:25" s="233" customFormat="1" ht="12" customHeight="1" x14ac:dyDescent="0.25">
      <c r="B60" s="234" t="s">
        <v>404</v>
      </c>
      <c r="C60" s="293">
        <f>SUM(C61:C62)</f>
        <v>8947023</v>
      </c>
      <c r="D60" s="293">
        <f>SUM(D61:D62)</f>
        <v>13827207</v>
      </c>
      <c r="E60" s="235"/>
      <c r="F60" s="240"/>
      <c r="G60" s="240"/>
      <c r="H60" s="240"/>
      <c r="I60" s="240"/>
      <c r="J60" s="240"/>
      <c r="K60" s="240"/>
      <c r="L60" s="240"/>
      <c r="M60" s="240"/>
      <c r="N60" s="240"/>
      <c r="O60" s="240"/>
      <c r="P60" s="241"/>
      <c r="Q60" s="235"/>
      <c r="R60" s="230"/>
      <c r="S60" s="237"/>
      <c r="T60" s="230"/>
      <c r="U60" s="230"/>
      <c r="V60" s="230"/>
      <c r="W60" s="230"/>
      <c r="X60" s="230"/>
      <c r="Y60" s="230"/>
    </row>
    <row r="61" spans="2:25" ht="12" customHeight="1" x14ac:dyDescent="0.25">
      <c r="B61" s="211" t="s">
        <v>397</v>
      </c>
      <c r="C61" s="292">
        <v>18707391</v>
      </c>
      <c r="D61" s="292">
        <v>18707391</v>
      </c>
      <c r="E61" s="79" t="str">
        <f>+IF(ABS($C61)&gt;='1. 중요성 기준'!$G$62,"Y","N")</f>
        <v>N</v>
      </c>
      <c r="F61" s="67" t="s">
        <v>50</v>
      </c>
      <c r="G61" s="67" t="s">
        <v>50</v>
      </c>
      <c r="H61" s="67" t="s">
        <v>50</v>
      </c>
      <c r="I61" s="67" t="s">
        <v>49</v>
      </c>
      <c r="J61" s="67" t="s">
        <v>49</v>
      </c>
      <c r="K61" s="67" t="s">
        <v>55</v>
      </c>
      <c r="L61" s="67" t="s">
        <v>55</v>
      </c>
      <c r="M61" s="67" t="s">
        <v>55</v>
      </c>
      <c r="N61" s="67" t="s">
        <v>55</v>
      </c>
      <c r="O61" s="67" t="s">
        <v>49</v>
      </c>
      <c r="P61" s="68" t="str">
        <f t="shared" si="5"/>
        <v>Y</v>
      </c>
      <c r="Q61" s="217" t="s">
        <v>317</v>
      </c>
      <c r="R61" s="71" t="str">
        <f t="shared" ref="R61:R62" si="8">IF(COUNTIF($E61:$P61,"Y")&gt;0,"Y","N")</f>
        <v>Y</v>
      </c>
      <c r="S61" s="26"/>
      <c r="T61" s="73"/>
      <c r="U61" s="72"/>
      <c r="V61" s="72"/>
      <c r="W61" s="357" t="s">
        <v>843</v>
      </c>
      <c r="X61" s="73"/>
      <c r="Y61" s="73" t="s">
        <v>72</v>
      </c>
    </row>
    <row r="62" spans="2:25" ht="12" customHeight="1" x14ac:dyDescent="0.25">
      <c r="B62" s="211" t="s">
        <v>389</v>
      </c>
      <c r="C62" s="292">
        <v>-9760368</v>
      </c>
      <c r="D62" s="292">
        <v>-4880184</v>
      </c>
      <c r="E62" s="79" t="str">
        <f>+IF(ABS($C62)&gt;='1. 중요성 기준'!$G$62,"Y","N")</f>
        <v>N</v>
      </c>
      <c r="F62" s="67" t="s">
        <v>49</v>
      </c>
      <c r="G62" s="67" t="s">
        <v>49</v>
      </c>
      <c r="H62" s="67" t="s">
        <v>55</v>
      </c>
      <c r="I62" s="67" t="s">
        <v>49</v>
      </c>
      <c r="J62" s="67" t="s">
        <v>49</v>
      </c>
      <c r="K62" s="67" t="s">
        <v>49</v>
      </c>
      <c r="L62" s="67" t="s">
        <v>49</v>
      </c>
      <c r="M62" s="67" t="s">
        <v>49</v>
      </c>
      <c r="N62" s="67" t="s">
        <v>49</v>
      </c>
      <c r="O62" s="67" t="s">
        <v>49</v>
      </c>
      <c r="P62" s="68" t="str">
        <f t="shared" si="5"/>
        <v>N</v>
      </c>
      <c r="Q62" s="217" t="s">
        <v>213</v>
      </c>
      <c r="R62" s="71" t="str">
        <f t="shared" si="8"/>
        <v>N</v>
      </c>
      <c r="S62" s="26"/>
      <c r="T62" s="73"/>
      <c r="U62" s="72"/>
      <c r="V62" s="72"/>
      <c r="W62" s="73"/>
      <c r="X62" s="73"/>
      <c r="Y62" s="73"/>
    </row>
    <row r="63" spans="2:25" s="233" customFormat="1" ht="12" customHeight="1" x14ac:dyDescent="0.25">
      <c r="B63" s="234" t="s">
        <v>405</v>
      </c>
      <c r="C63" s="293">
        <f>SUM(C64:C64)</f>
        <v>124689364</v>
      </c>
      <c r="D63" s="293">
        <f>SUM(D64:D64)</f>
        <v>168221412</v>
      </c>
      <c r="E63" s="235"/>
      <c r="F63" s="240"/>
      <c r="G63" s="240"/>
      <c r="H63" s="240"/>
      <c r="I63" s="240"/>
      <c r="J63" s="240"/>
      <c r="K63" s="240"/>
      <c r="L63" s="240"/>
      <c r="M63" s="240"/>
      <c r="N63" s="240"/>
      <c r="O63" s="240"/>
      <c r="P63" s="241"/>
      <c r="Q63" s="235"/>
      <c r="R63" s="230"/>
      <c r="S63" s="237"/>
      <c r="T63" s="230"/>
      <c r="U63" s="230"/>
      <c r="V63" s="230"/>
      <c r="W63" s="230"/>
      <c r="X63" s="230"/>
      <c r="Y63" s="230"/>
    </row>
    <row r="64" spans="2:25" ht="12" customHeight="1" x14ac:dyDescent="0.25">
      <c r="B64" s="211" t="s">
        <v>73</v>
      </c>
      <c r="C64" s="292">
        <v>124689364</v>
      </c>
      <c r="D64" s="292">
        <v>168221412</v>
      </c>
      <c r="E64" s="79" t="str">
        <f>+IF(ABS($C64)&gt;='1. 중요성 기준'!$G$62,"Y","N")</f>
        <v>N</v>
      </c>
      <c r="F64" s="67" t="s">
        <v>50</v>
      </c>
      <c r="G64" s="67" t="s">
        <v>50</v>
      </c>
      <c r="H64" s="67" t="s">
        <v>50</v>
      </c>
      <c r="I64" s="67" t="s">
        <v>49</v>
      </c>
      <c r="J64" s="67" t="s">
        <v>50</v>
      </c>
      <c r="K64" s="67" t="s">
        <v>49</v>
      </c>
      <c r="L64" s="67" t="s">
        <v>49</v>
      </c>
      <c r="M64" s="67" t="s">
        <v>50</v>
      </c>
      <c r="N64" s="67" t="s">
        <v>49</v>
      </c>
      <c r="O64" s="67" t="s">
        <v>49</v>
      </c>
      <c r="P64" s="68" t="str">
        <f t="shared" si="5"/>
        <v>Y</v>
      </c>
      <c r="Q64" s="217" t="s">
        <v>468</v>
      </c>
      <c r="R64" s="71" t="str">
        <f t="shared" ref="R64:R65" si="9">IF(COUNTIF($E64:$P64,"Y")&gt;0,"Y","N")</f>
        <v>Y</v>
      </c>
      <c r="S64" s="26"/>
      <c r="T64" s="73"/>
      <c r="U64" s="72"/>
      <c r="V64" s="73"/>
      <c r="W64" s="73" t="s">
        <v>72</v>
      </c>
      <c r="X64" s="72"/>
      <c r="Y64" s="73"/>
    </row>
    <row r="65" spans="2:25" ht="12" customHeight="1" x14ac:dyDescent="0.25">
      <c r="B65" s="232" t="s">
        <v>75</v>
      </c>
      <c r="C65" s="294">
        <f>C19+C35</f>
        <v>37014362128</v>
      </c>
      <c r="D65" s="294">
        <f>D19+D35</f>
        <v>35042541772</v>
      </c>
      <c r="E65" s="79"/>
      <c r="F65" s="67"/>
      <c r="G65" s="67"/>
      <c r="H65" s="67"/>
      <c r="I65" s="67"/>
      <c r="J65" s="67"/>
      <c r="K65" s="67"/>
      <c r="L65" s="67"/>
      <c r="M65" s="67"/>
      <c r="N65" s="67"/>
      <c r="O65" s="67"/>
      <c r="P65" s="68" t="str">
        <f t="shared" si="5"/>
        <v>N</v>
      </c>
      <c r="Q65" s="218"/>
      <c r="R65" s="71" t="str">
        <f t="shared" si="9"/>
        <v>N</v>
      </c>
      <c r="S65" s="26"/>
      <c r="T65" s="72"/>
      <c r="U65" s="72"/>
      <c r="V65" s="72"/>
      <c r="W65" s="72"/>
      <c r="X65" s="72"/>
      <c r="Y65" s="72"/>
    </row>
    <row r="66" spans="2:25" s="233" customFormat="1" ht="12" customHeight="1" x14ac:dyDescent="0.25">
      <c r="B66" s="234" t="s">
        <v>81</v>
      </c>
      <c r="C66" s="293"/>
      <c r="D66" s="293"/>
      <c r="E66" s="235"/>
      <c r="F66" s="240"/>
      <c r="G66" s="240"/>
      <c r="H66" s="240"/>
      <c r="I66" s="240"/>
      <c r="J66" s="240"/>
      <c r="K66" s="240"/>
      <c r="L66" s="240"/>
      <c r="M66" s="240"/>
      <c r="N66" s="240"/>
      <c r="O66" s="240"/>
      <c r="P66" s="241"/>
      <c r="Q66" s="235"/>
      <c r="R66" s="230"/>
      <c r="S66" s="237"/>
      <c r="T66" s="230"/>
      <c r="U66" s="230"/>
      <c r="V66" s="230"/>
      <c r="W66" s="230"/>
      <c r="X66" s="230"/>
      <c r="Y66" s="230"/>
    </row>
    <row r="67" spans="2:25" s="233" customFormat="1" ht="12" customHeight="1" x14ac:dyDescent="0.25">
      <c r="B67" s="234" t="s">
        <v>197</v>
      </c>
      <c r="C67" s="293">
        <f>C68</f>
        <v>4085811189</v>
      </c>
      <c r="D67" s="293">
        <f>D68</f>
        <v>4140815135</v>
      </c>
      <c r="E67" s="235"/>
      <c r="F67" s="240"/>
      <c r="G67" s="240"/>
      <c r="H67" s="240"/>
      <c r="I67" s="240"/>
      <c r="J67" s="240"/>
      <c r="K67" s="240"/>
      <c r="L67" s="240"/>
      <c r="M67" s="240"/>
      <c r="N67" s="240"/>
      <c r="O67" s="240"/>
      <c r="P67" s="241"/>
      <c r="Q67" s="235"/>
      <c r="R67" s="230"/>
      <c r="S67" s="237"/>
      <c r="T67" s="230"/>
      <c r="U67" s="230"/>
      <c r="V67" s="230"/>
      <c r="W67" s="230"/>
      <c r="X67" s="230"/>
      <c r="Y67" s="230"/>
    </row>
    <row r="68" spans="2:25" s="233" customFormat="1" ht="12" customHeight="1" x14ac:dyDescent="0.25">
      <c r="B68" s="239" t="s">
        <v>198</v>
      </c>
      <c r="C68" s="293">
        <f>SUM(C69:C76)</f>
        <v>4085811189</v>
      </c>
      <c r="D68" s="293">
        <f>SUM(D69:D76)</f>
        <v>4140815135</v>
      </c>
      <c r="E68" s="235"/>
      <c r="F68" s="240"/>
      <c r="G68" s="240"/>
      <c r="H68" s="240"/>
      <c r="I68" s="240"/>
      <c r="J68" s="240"/>
      <c r="K68" s="240"/>
      <c r="L68" s="240"/>
      <c r="M68" s="240"/>
      <c r="N68" s="240"/>
      <c r="O68" s="240"/>
      <c r="P68" s="241"/>
      <c r="Q68" s="235"/>
      <c r="R68" s="230"/>
      <c r="S68" s="237"/>
      <c r="T68" s="230"/>
      <c r="U68" s="230"/>
      <c r="V68" s="230"/>
      <c r="W68" s="230"/>
      <c r="X68" s="230"/>
      <c r="Y68" s="230"/>
    </row>
    <row r="69" spans="2:25" ht="12" customHeight="1" x14ac:dyDescent="0.25">
      <c r="B69" s="211" t="s">
        <v>274</v>
      </c>
      <c r="C69" s="292">
        <v>505007582</v>
      </c>
      <c r="D69" s="292">
        <v>1645043138</v>
      </c>
      <c r="E69" s="79" t="str">
        <f>+IF(ABS($C69)&gt;='1. 중요성 기준'!$G$62,"Y","N")</f>
        <v>Y</v>
      </c>
      <c r="F69" s="67" t="s">
        <v>49</v>
      </c>
      <c r="G69" s="67" t="s">
        <v>49</v>
      </c>
      <c r="H69" s="67" t="s">
        <v>49</v>
      </c>
      <c r="I69" s="67" t="s">
        <v>50</v>
      </c>
      <c r="J69" s="67" t="s">
        <v>50</v>
      </c>
      <c r="K69" s="67" t="s">
        <v>49</v>
      </c>
      <c r="L69" s="67" t="s">
        <v>49</v>
      </c>
      <c r="M69" s="67" t="s">
        <v>49</v>
      </c>
      <c r="N69" s="67" t="s">
        <v>49</v>
      </c>
      <c r="O69" s="67" t="s">
        <v>49</v>
      </c>
      <c r="P69" s="68" t="str">
        <f t="shared" ref="P69:P76" si="10">IF(SUM(COUNTIF($F69:$O69,"High")*$C$12+COUNTIF($F69:$O69,"Medium")*$C$13+COUNTIF($F69:$O69,"Low")*$C$14)/10&gt;=2,"Y","N")</f>
        <v>N</v>
      </c>
      <c r="Q69" s="217"/>
      <c r="R69" s="71" t="str">
        <f t="shared" ref="R69:R76" si="11">IF(COUNTIF($E69:$P69,"Y")&gt;0,"Y","N")</f>
        <v>Y</v>
      </c>
      <c r="S69" s="26"/>
      <c r="T69" s="73"/>
      <c r="U69" s="73" t="s">
        <v>72</v>
      </c>
      <c r="V69" s="73" t="s">
        <v>72</v>
      </c>
      <c r="W69" s="73" t="s">
        <v>72</v>
      </c>
      <c r="X69" s="73" t="s">
        <v>72</v>
      </c>
      <c r="Y69" s="73"/>
    </row>
    <row r="70" spans="2:25" ht="12" customHeight="1" x14ac:dyDescent="0.25">
      <c r="B70" s="211" t="s">
        <v>291</v>
      </c>
      <c r="C70" s="292">
        <v>46414230</v>
      </c>
      <c r="D70" s="292">
        <v>36430030</v>
      </c>
      <c r="E70" s="79" t="str">
        <f>+IF(ABS($C70)&gt;='1. 중요성 기준'!$G$62,"Y","N")</f>
        <v>N</v>
      </c>
      <c r="F70" s="67" t="s">
        <v>49</v>
      </c>
      <c r="G70" s="67" t="s">
        <v>49</v>
      </c>
      <c r="H70" s="67" t="s">
        <v>55</v>
      </c>
      <c r="I70" s="67" t="s">
        <v>49</v>
      </c>
      <c r="J70" s="67" t="s">
        <v>49</v>
      </c>
      <c r="K70" s="67" t="s">
        <v>49</v>
      </c>
      <c r="L70" s="67" t="s">
        <v>49</v>
      </c>
      <c r="M70" s="67" t="s">
        <v>49</v>
      </c>
      <c r="N70" s="67" t="s">
        <v>49</v>
      </c>
      <c r="O70" s="67" t="s">
        <v>49</v>
      </c>
      <c r="P70" s="68" t="str">
        <f t="shared" si="10"/>
        <v>N</v>
      </c>
      <c r="Q70" s="217" t="s">
        <v>213</v>
      </c>
      <c r="R70" s="71" t="str">
        <f t="shared" si="11"/>
        <v>N</v>
      </c>
      <c r="S70" s="26"/>
      <c r="T70" s="73"/>
      <c r="U70" s="73"/>
      <c r="V70" s="73"/>
      <c r="W70" s="73"/>
      <c r="X70" s="72"/>
      <c r="Y70" s="73"/>
    </row>
    <row r="71" spans="2:25" ht="12" customHeight="1" x14ac:dyDescent="0.25">
      <c r="B71" s="211" t="s">
        <v>406</v>
      </c>
      <c r="C71" s="292">
        <v>335114843</v>
      </c>
      <c r="D71" s="292">
        <v>181751580</v>
      </c>
      <c r="E71" s="79" t="str">
        <f>+IF(ABS($C71)&gt;='1. 중요성 기준'!$G$62,"Y","N")</f>
        <v>Y</v>
      </c>
      <c r="F71" s="67"/>
      <c r="G71" s="67"/>
      <c r="H71" s="67"/>
      <c r="I71" s="67"/>
      <c r="J71" s="67"/>
      <c r="K71" s="67"/>
      <c r="L71" s="67"/>
      <c r="M71" s="67"/>
      <c r="N71" s="67"/>
      <c r="O71" s="67"/>
      <c r="P71" s="68"/>
      <c r="Q71" s="217"/>
      <c r="R71" s="71" t="str">
        <f t="shared" si="11"/>
        <v>Y</v>
      </c>
      <c r="S71" s="26"/>
      <c r="T71" s="73" t="s">
        <v>72</v>
      </c>
      <c r="U71" s="73"/>
      <c r="V71" s="73" t="s">
        <v>72</v>
      </c>
      <c r="W71" s="73" t="s">
        <v>72</v>
      </c>
      <c r="X71" s="72"/>
      <c r="Y71" s="73"/>
    </row>
    <row r="72" spans="2:25" ht="12" customHeight="1" x14ac:dyDescent="0.25">
      <c r="B72" s="211" t="s">
        <v>294</v>
      </c>
      <c r="C72" s="292">
        <v>249707660</v>
      </c>
      <c r="D72" s="292">
        <v>165199520</v>
      </c>
      <c r="E72" s="79" t="str">
        <f>+IF(ABS($C72)&gt;='1. 중요성 기준'!$G$62,"Y","N")</f>
        <v>Y</v>
      </c>
      <c r="F72" s="67" t="s">
        <v>50</v>
      </c>
      <c r="G72" s="67" t="s">
        <v>50</v>
      </c>
      <c r="H72" s="67" t="s">
        <v>50</v>
      </c>
      <c r="I72" s="67" t="s">
        <v>49</v>
      </c>
      <c r="J72" s="67" t="s">
        <v>49</v>
      </c>
      <c r="K72" s="67" t="s">
        <v>55</v>
      </c>
      <c r="L72" s="67" t="s">
        <v>55</v>
      </c>
      <c r="M72" s="67" t="s">
        <v>55</v>
      </c>
      <c r="N72" s="67" t="s">
        <v>55</v>
      </c>
      <c r="O72" s="67" t="s">
        <v>49</v>
      </c>
      <c r="P72" s="68" t="str">
        <f t="shared" si="10"/>
        <v>Y</v>
      </c>
      <c r="Q72" s="217"/>
      <c r="R72" s="71" t="str">
        <f t="shared" si="11"/>
        <v>Y</v>
      </c>
      <c r="S72" s="26"/>
      <c r="T72" s="73"/>
      <c r="U72" s="73"/>
      <c r="V72" s="73" t="s">
        <v>72</v>
      </c>
      <c r="W72" s="73" t="s">
        <v>72</v>
      </c>
      <c r="X72" s="72"/>
      <c r="Y72" s="73"/>
    </row>
    <row r="73" spans="2:25" ht="12" customHeight="1" x14ac:dyDescent="0.25">
      <c r="B73" s="211" t="s">
        <v>293</v>
      </c>
      <c r="C73" s="292">
        <v>208966205</v>
      </c>
      <c r="D73" s="292">
        <v>212854277</v>
      </c>
      <c r="E73" s="79" t="str">
        <f>+IF(ABS($C73)&gt;='1. 중요성 기준'!$G$62,"Y","N")</f>
        <v>Y</v>
      </c>
      <c r="F73" s="67" t="s">
        <v>49</v>
      </c>
      <c r="G73" s="67" t="s">
        <v>49</v>
      </c>
      <c r="H73" s="67" t="s">
        <v>49</v>
      </c>
      <c r="I73" s="67" t="s">
        <v>50</v>
      </c>
      <c r="J73" s="67" t="s">
        <v>50</v>
      </c>
      <c r="K73" s="67" t="s">
        <v>49</v>
      </c>
      <c r="L73" s="67" t="s">
        <v>49</v>
      </c>
      <c r="M73" s="67" t="s">
        <v>49</v>
      </c>
      <c r="N73" s="67" t="s">
        <v>49</v>
      </c>
      <c r="O73" s="67" t="s">
        <v>49</v>
      </c>
      <c r="P73" s="68" t="str">
        <f t="shared" si="10"/>
        <v>N</v>
      </c>
      <c r="Q73" s="217"/>
      <c r="R73" s="71" t="str">
        <f t="shared" si="11"/>
        <v>Y</v>
      </c>
      <c r="S73" s="26"/>
      <c r="T73" s="73"/>
      <c r="U73" s="73" t="s">
        <v>72</v>
      </c>
      <c r="V73" s="73" t="s">
        <v>72</v>
      </c>
      <c r="W73" s="357" t="s">
        <v>843</v>
      </c>
      <c r="X73" s="73" t="s">
        <v>72</v>
      </c>
      <c r="Y73" s="73"/>
    </row>
    <row r="74" spans="2:25" ht="12" customHeight="1" x14ac:dyDescent="0.25">
      <c r="B74" s="211" t="s">
        <v>290</v>
      </c>
      <c r="C74" s="292">
        <v>775478783</v>
      </c>
      <c r="D74" s="292">
        <v>914414704</v>
      </c>
      <c r="E74" s="79" t="str">
        <f>+IF(ABS($C74)&gt;='1. 중요성 기준'!$G$62,"Y","N")</f>
        <v>Y</v>
      </c>
      <c r="F74" s="67" t="s">
        <v>49</v>
      </c>
      <c r="G74" s="67" t="s">
        <v>49</v>
      </c>
      <c r="H74" s="67" t="s">
        <v>49</v>
      </c>
      <c r="I74" s="67" t="s">
        <v>55</v>
      </c>
      <c r="J74" s="67" t="s">
        <v>49</v>
      </c>
      <c r="K74" s="67" t="s">
        <v>49</v>
      </c>
      <c r="L74" s="67" t="s">
        <v>49</v>
      </c>
      <c r="M74" s="67" t="s">
        <v>49</v>
      </c>
      <c r="N74" s="67" t="s">
        <v>49</v>
      </c>
      <c r="O74" s="67" t="s">
        <v>49</v>
      </c>
      <c r="P74" s="68" t="str">
        <f t="shared" si="10"/>
        <v>N</v>
      </c>
      <c r="Q74" s="217"/>
      <c r="R74" s="71" t="str">
        <f t="shared" si="11"/>
        <v>Y</v>
      </c>
      <c r="S74" s="26"/>
      <c r="T74" s="73" t="s">
        <v>72</v>
      </c>
      <c r="U74" s="72"/>
      <c r="V74" s="72"/>
      <c r="W74" s="357" t="s">
        <v>843</v>
      </c>
      <c r="X74" s="72"/>
      <c r="Y74" s="72"/>
    </row>
    <row r="75" spans="2:25" ht="12" customHeight="1" x14ac:dyDescent="0.25">
      <c r="B75" s="211" t="s">
        <v>407</v>
      </c>
      <c r="C75" s="292">
        <v>1960000000</v>
      </c>
      <c r="D75" s="292">
        <v>980000000</v>
      </c>
      <c r="E75" s="79" t="str">
        <f>+IF(ABS($C75)&gt;='1. 중요성 기준'!$G$62,"Y","N")</f>
        <v>Y</v>
      </c>
      <c r="F75" s="67" t="s">
        <v>49</v>
      </c>
      <c r="G75" s="67" t="s">
        <v>49</v>
      </c>
      <c r="H75" s="67" t="s">
        <v>49</v>
      </c>
      <c r="I75" s="67" t="s">
        <v>55</v>
      </c>
      <c r="J75" s="67" t="s">
        <v>49</v>
      </c>
      <c r="K75" s="67" t="s">
        <v>49</v>
      </c>
      <c r="L75" s="67" t="s">
        <v>49</v>
      </c>
      <c r="M75" s="67" t="s">
        <v>49</v>
      </c>
      <c r="N75" s="67" t="s">
        <v>49</v>
      </c>
      <c r="O75" s="67" t="s">
        <v>49</v>
      </c>
      <c r="P75" s="68" t="str">
        <f t="shared" si="10"/>
        <v>N</v>
      </c>
      <c r="Q75" s="217"/>
      <c r="R75" s="71" t="str">
        <f t="shared" si="11"/>
        <v>Y</v>
      </c>
      <c r="S75" s="26"/>
      <c r="T75" s="73"/>
      <c r="U75" s="72"/>
      <c r="V75" s="73" t="s">
        <v>72</v>
      </c>
      <c r="W75" s="357" t="s">
        <v>843</v>
      </c>
      <c r="X75" s="72"/>
      <c r="Y75" s="73" t="s">
        <v>72</v>
      </c>
    </row>
    <row r="76" spans="2:25" ht="12" customHeight="1" x14ac:dyDescent="0.25">
      <c r="B76" s="211" t="s">
        <v>408</v>
      </c>
      <c r="C76" s="292">
        <v>5121886</v>
      </c>
      <c r="D76" s="292">
        <v>5121886</v>
      </c>
      <c r="E76" s="79" t="str">
        <f>+IF(ABS($C76)&gt;='1. 중요성 기준'!$G$62,"Y","N")</f>
        <v>N</v>
      </c>
      <c r="F76" s="67" t="s">
        <v>50</v>
      </c>
      <c r="G76" s="67" t="s">
        <v>50</v>
      </c>
      <c r="H76" s="67" t="s">
        <v>50</v>
      </c>
      <c r="I76" s="67" t="s">
        <v>49</v>
      </c>
      <c r="J76" s="67" t="s">
        <v>49</v>
      </c>
      <c r="K76" s="67" t="s">
        <v>55</v>
      </c>
      <c r="L76" s="67" t="s">
        <v>55</v>
      </c>
      <c r="M76" s="67" t="s">
        <v>55</v>
      </c>
      <c r="N76" s="67" t="s">
        <v>55</v>
      </c>
      <c r="O76" s="67" t="s">
        <v>49</v>
      </c>
      <c r="P76" s="68" t="str">
        <f t="shared" si="10"/>
        <v>Y</v>
      </c>
      <c r="Q76" s="217" t="s">
        <v>317</v>
      </c>
      <c r="R76" s="71" t="str">
        <f t="shared" si="11"/>
        <v>Y</v>
      </c>
      <c r="S76" s="26"/>
      <c r="T76" s="73"/>
      <c r="U76" s="72"/>
      <c r="V76" s="73" t="s">
        <v>72</v>
      </c>
      <c r="W76" s="357" t="s">
        <v>843</v>
      </c>
      <c r="X76" s="72"/>
      <c r="Y76" s="73" t="s">
        <v>72</v>
      </c>
    </row>
    <row r="77" spans="2:25" s="233" customFormat="1" ht="12" customHeight="1" x14ac:dyDescent="0.25">
      <c r="B77" s="234" t="s">
        <v>199</v>
      </c>
      <c r="C77" s="293">
        <f>C78</f>
        <v>5447304804</v>
      </c>
      <c r="D77" s="293">
        <f>D78</f>
        <v>7439526206</v>
      </c>
      <c r="E77" s="235"/>
      <c r="F77" s="240"/>
      <c r="G77" s="240"/>
      <c r="H77" s="240"/>
      <c r="I77" s="240"/>
      <c r="J77" s="240"/>
      <c r="K77" s="240"/>
      <c r="L77" s="240"/>
      <c r="M77" s="240"/>
      <c r="N77" s="240"/>
      <c r="O77" s="240"/>
      <c r="P77" s="241"/>
      <c r="Q77" s="235"/>
      <c r="R77" s="230"/>
      <c r="S77" s="237"/>
      <c r="T77" s="230"/>
      <c r="U77" s="230"/>
      <c r="V77" s="230"/>
      <c r="W77" s="230"/>
      <c r="X77" s="230"/>
      <c r="Y77" s="230"/>
    </row>
    <row r="78" spans="2:25" s="233" customFormat="1" ht="12" customHeight="1" x14ac:dyDescent="0.25">
      <c r="B78" s="234" t="s">
        <v>200</v>
      </c>
      <c r="C78" s="293">
        <f>SUM(C79:C83)</f>
        <v>5447304804</v>
      </c>
      <c r="D78" s="293">
        <f>SUM(D79:D83)</f>
        <v>7439526206</v>
      </c>
      <c r="E78" s="235"/>
      <c r="F78" s="240"/>
      <c r="G78" s="240"/>
      <c r="H78" s="240"/>
      <c r="I78" s="240"/>
      <c r="J78" s="240"/>
      <c r="K78" s="240"/>
      <c r="L78" s="240"/>
      <c r="M78" s="240"/>
      <c r="N78" s="240"/>
      <c r="O78" s="240"/>
      <c r="P78" s="241"/>
      <c r="Q78" s="235"/>
      <c r="R78" s="230"/>
      <c r="S78" s="237"/>
      <c r="T78" s="230"/>
      <c r="U78" s="230"/>
      <c r="V78" s="230"/>
      <c r="W78" s="230"/>
      <c r="X78" s="230"/>
      <c r="Y78" s="230"/>
    </row>
    <row r="79" spans="2:25" ht="12" customHeight="1" x14ac:dyDescent="0.25">
      <c r="B79" s="211" t="s">
        <v>295</v>
      </c>
      <c r="C79" s="292">
        <v>4500876</v>
      </c>
      <c r="D79" s="292">
        <v>9323619</v>
      </c>
      <c r="E79" s="79" t="str">
        <f>+IF(ABS($C79)&gt;='1. 중요성 기준'!$G$62,"Y","N")</f>
        <v>N</v>
      </c>
      <c r="F79" s="67" t="s">
        <v>50</v>
      </c>
      <c r="G79" s="67" t="s">
        <v>50</v>
      </c>
      <c r="H79" s="67" t="s">
        <v>50</v>
      </c>
      <c r="I79" s="67" t="s">
        <v>49</v>
      </c>
      <c r="J79" s="67" t="s">
        <v>49</v>
      </c>
      <c r="K79" s="67" t="s">
        <v>55</v>
      </c>
      <c r="L79" s="67" t="s">
        <v>55</v>
      </c>
      <c r="M79" s="67" t="s">
        <v>55</v>
      </c>
      <c r="N79" s="67" t="s">
        <v>55</v>
      </c>
      <c r="O79" s="67" t="s">
        <v>49</v>
      </c>
      <c r="P79" s="68" t="str">
        <f t="shared" ref="P79" si="12">IF(SUM(COUNTIF($F79:$O79,"High")*$C$12+COUNTIF($F79:$O79,"Medium")*$C$13+COUNTIF($F79:$O79,"Low")*$C$14)/10&gt;=2,"Y","N")</f>
        <v>Y</v>
      </c>
      <c r="Q79" s="217" t="s">
        <v>317</v>
      </c>
      <c r="R79" s="71" t="str">
        <f t="shared" ref="R79:R83" si="13">IF(COUNTIF($E79:$P79,"Y")&gt;0,"Y","N")</f>
        <v>Y</v>
      </c>
      <c r="S79" s="26"/>
      <c r="T79" s="73"/>
      <c r="U79" s="72"/>
      <c r="V79" s="73" t="s">
        <v>72</v>
      </c>
      <c r="W79" s="357" t="s">
        <v>843</v>
      </c>
      <c r="X79" s="72"/>
      <c r="Y79" s="73" t="s">
        <v>72</v>
      </c>
    </row>
    <row r="80" spans="2:25" ht="12" customHeight="1" x14ac:dyDescent="0.25">
      <c r="B80" s="211" t="s">
        <v>409</v>
      </c>
      <c r="C80" s="292">
        <v>4900000000</v>
      </c>
      <c r="D80" s="292">
        <v>6860000000</v>
      </c>
      <c r="E80" s="79" t="str">
        <f>+IF(ABS($C80)&gt;='1. 중요성 기준'!$G$62,"Y","N")</f>
        <v>Y</v>
      </c>
      <c r="F80" s="67" t="s">
        <v>50</v>
      </c>
      <c r="G80" s="67" t="s">
        <v>50</v>
      </c>
      <c r="H80" s="67" t="s">
        <v>49</v>
      </c>
      <c r="I80" s="67" t="s">
        <v>55</v>
      </c>
      <c r="J80" s="67" t="s">
        <v>49</v>
      </c>
      <c r="K80" s="67" t="s">
        <v>49</v>
      </c>
      <c r="L80" s="67" t="s">
        <v>49</v>
      </c>
      <c r="M80" s="67" t="s">
        <v>49</v>
      </c>
      <c r="N80" s="67" t="s">
        <v>49</v>
      </c>
      <c r="O80" s="67" t="s">
        <v>49</v>
      </c>
      <c r="P80" s="68" t="str">
        <f t="shared" ref="P80:P83" si="14">IF(SUM(COUNTIF($F80:$O80,"High")*$C$12+COUNTIF($F80:$O80,"Medium")*$C$13+COUNTIF($F80:$O80,"Low")*$C$14)/10&gt;=2,"Y","N")</f>
        <v>N</v>
      </c>
      <c r="Q80" s="217"/>
      <c r="R80" s="71" t="str">
        <f t="shared" si="13"/>
        <v>Y</v>
      </c>
      <c r="S80" s="26"/>
      <c r="T80" s="73"/>
      <c r="U80" s="72"/>
      <c r="V80" s="73" t="s">
        <v>72</v>
      </c>
      <c r="W80" s="357" t="s">
        <v>843</v>
      </c>
      <c r="X80" s="73"/>
      <c r="Y80" s="73"/>
    </row>
    <row r="81" spans="2:25" ht="12" customHeight="1" x14ac:dyDescent="0.25">
      <c r="B81" s="211" t="s">
        <v>292</v>
      </c>
      <c r="C81" s="292">
        <v>127000000</v>
      </c>
      <c r="D81" s="292">
        <v>127000000</v>
      </c>
      <c r="E81" s="79" t="str">
        <f>+IF(ABS($C81)&gt;='1. 중요성 기준'!$G$62,"Y","N")</f>
        <v>N</v>
      </c>
      <c r="F81" s="67" t="s">
        <v>49</v>
      </c>
      <c r="G81" s="67" t="s">
        <v>49</v>
      </c>
      <c r="H81" s="67" t="s">
        <v>55</v>
      </c>
      <c r="I81" s="67" t="s">
        <v>49</v>
      </c>
      <c r="J81" s="67" t="s">
        <v>49</v>
      </c>
      <c r="K81" s="67" t="s">
        <v>49</v>
      </c>
      <c r="L81" s="67" t="s">
        <v>49</v>
      </c>
      <c r="M81" s="67" t="s">
        <v>49</v>
      </c>
      <c r="N81" s="67" t="s">
        <v>49</v>
      </c>
      <c r="O81" s="67" t="s">
        <v>49</v>
      </c>
      <c r="P81" s="68" t="str">
        <f t="shared" si="14"/>
        <v>N</v>
      </c>
      <c r="Q81" s="217" t="s">
        <v>213</v>
      </c>
      <c r="R81" s="71" t="str">
        <f t="shared" si="13"/>
        <v>N</v>
      </c>
      <c r="S81" s="26"/>
      <c r="T81" s="73"/>
      <c r="U81" s="72"/>
      <c r="V81" s="72"/>
      <c r="W81" s="72"/>
      <c r="X81" s="73"/>
      <c r="Y81" s="73"/>
    </row>
    <row r="82" spans="2:25" ht="12" customHeight="1" x14ac:dyDescent="0.25">
      <c r="B82" s="211" t="s">
        <v>410</v>
      </c>
      <c r="C82" s="292">
        <v>403874764</v>
      </c>
      <c r="D82" s="292">
        <v>436976329</v>
      </c>
      <c r="E82" s="79" t="str">
        <f>+IF(ABS($C82)&gt;='1. 중요성 기준'!$G$62,"Y","N")</f>
        <v>Y</v>
      </c>
      <c r="F82" s="67"/>
      <c r="G82" s="67"/>
      <c r="H82" s="67"/>
      <c r="I82" s="67"/>
      <c r="J82" s="67"/>
      <c r="K82" s="67"/>
      <c r="L82" s="67"/>
      <c r="M82" s="67"/>
      <c r="N82" s="67"/>
      <c r="O82" s="67"/>
      <c r="P82" s="68" t="str">
        <f t="shared" si="14"/>
        <v>N</v>
      </c>
      <c r="Q82" s="217"/>
      <c r="R82" s="71" t="str">
        <f t="shared" si="13"/>
        <v>Y</v>
      </c>
      <c r="S82" s="26"/>
      <c r="T82" s="73"/>
      <c r="U82" s="72"/>
      <c r="V82" s="72"/>
      <c r="W82" s="357" t="s">
        <v>843</v>
      </c>
      <c r="X82" s="73" t="s">
        <v>72</v>
      </c>
      <c r="Y82" s="73"/>
    </row>
    <row r="83" spans="2:25" ht="12" customHeight="1" x14ac:dyDescent="0.25">
      <c r="B83" s="211" t="s">
        <v>411</v>
      </c>
      <c r="C83" s="292">
        <v>11929164</v>
      </c>
      <c r="D83" s="292">
        <v>6226258</v>
      </c>
      <c r="E83" s="79" t="str">
        <f>+IF(ABS($C83)&gt;='1. 중요성 기준'!$G$62,"Y","N")</f>
        <v>N</v>
      </c>
      <c r="F83" s="67" t="s">
        <v>50</v>
      </c>
      <c r="G83" s="67" t="s">
        <v>50</v>
      </c>
      <c r="H83" s="67" t="s">
        <v>50</v>
      </c>
      <c r="I83" s="67" t="s">
        <v>49</v>
      </c>
      <c r="J83" s="67" t="s">
        <v>49</v>
      </c>
      <c r="K83" s="67" t="s">
        <v>55</v>
      </c>
      <c r="L83" s="67" t="s">
        <v>55</v>
      </c>
      <c r="M83" s="67" t="s">
        <v>55</v>
      </c>
      <c r="N83" s="67" t="s">
        <v>55</v>
      </c>
      <c r="O83" s="67" t="s">
        <v>49</v>
      </c>
      <c r="P83" s="68" t="str">
        <f t="shared" si="14"/>
        <v>Y</v>
      </c>
      <c r="Q83" s="217" t="s">
        <v>475</v>
      </c>
      <c r="R83" s="71" t="str">
        <f t="shared" si="13"/>
        <v>Y</v>
      </c>
      <c r="S83" s="26"/>
      <c r="T83" s="73" t="s">
        <v>72</v>
      </c>
      <c r="U83" s="72"/>
      <c r="V83" s="72"/>
      <c r="W83" s="357" t="s">
        <v>843</v>
      </c>
      <c r="X83" s="72"/>
      <c r="Y83" s="72"/>
    </row>
    <row r="84" spans="2:25" s="233" customFormat="1" ht="12" customHeight="1" x14ac:dyDescent="0.25">
      <c r="B84" s="234" t="s">
        <v>82</v>
      </c>
      <c r="C84" s="293">
        <f>C67+C77</f>
        <v>9533115993</v>
      </c>
      <c r="D84" s="293">
        <f>D67+D77</f>
        <v>11580341341</v>
      </c>
      <c r="E84" s="235"/>
      <c r="F84" s="240"/>
      <c r="G84" s="240"/>
      <c r="H84" s="240"/>
      <c r="I84" s="240"/>
      <c r="J84" s="240"/>
      <c r="K84" s="240"/>
      <c r="L84" s="240"/>
      <c r="M84" s="240"/>
      <c r="N84" s="240"/>
      <c r="O84" s="240"/>
      <c r="P84" s="241"/>
      <c r="Q84" s="235"/>
      <c r="R84" s="230"/>
      <c r="S84" s="237"/>
      <c r="T84" s="230"/>
      <c r="U84" s="230"/>
      <c r="V84" s="230"/>
      <c r="W84" s="230"/>
      <c r="X84" s="230"/>
      <c r="Y84" s="230"/>
    </row>
    <row r="85" spans="2:25" s="233" customFormat="1" ht="12" customHeight="1" x14ac:dyDescent="0.25">
      <c r="B85" s="234" t="s">
        <v>76</v>
      </c>
      <c r="C85" s="293"/>
      <c r="D85" s="293"/>
      <c r="E85" s="235"/>
      <c r="F85" s="240"/>
      <c r="G85" s="240"/>
      <c r="H85" s="240"/>
      <c r="I85" s="240"/>
      <c r="J85" s="240"/>
      <c r="K85" s="240"/>
      <c r="L85" s="240"/>
      <c r="M85" s="240"/>
      <c r="N85" s="240"/>
      <c r="O85" s="240"/>
      <c r="P85" s="241"/>
      <c r="Q85" s="235"/>
      <c r="R85" s="230"/>
      <c r="S85" s="237"/>
      <c r="T85" s="230"/>
      <c r="U85" s="230"/>
      <c r="V85" s="230"/>
      <c r="W85" s="230"/>
      <c r="X85" s="230"/>
      <c r="Y85" s="230"/>
    </row>
    <row r="86" spans="2:25" s="233" customFormat="1" ht="12" customHeight="1" x14ac:dyDescent="0.25">
      <c r="B86" s="234" t="s">
        <v>77</v>
      </c>
      <c r="C86" s="293">
        <f>C87</f>
        <v>714285000</v>
      </c>
      <c r="D86" s="293">
        <f>D87</f>
        <v>714285000</v>
      </c>
      <c r="E86" s="235"/>
      <c r="F86" s="240"/>
      <c r="G86" s="240"/>
      <c r="H86" s="240"/>
      <c r="I86" s="240"/>
      <c r="J86" s="240"/>
      <c r="K86" s="240"/>
      <c r="L86" s="240"/>
      <c r="M86" s="240"/>
      <c r="N86" s="240"/>
      <c r="O86" s="240"/>
      <c r="P86" s="241"/>
      <c r="Q86" s="235"/>
      <c r="R86" s="230"/>
      <c r="S86" s="237"/>
      <c r="T86" s="230"/>
      <c r="U86" s="230"/>
      <c r="V86" s="230"/>
      <c r="W86" s="230"/>
      <c r="X86" s="230"/>
      <c r="Y86" s="230"/>
    </row>
    <row r="87" spans="2:25" ht="12" customHeight="1" x14ac:dyDescent="0.25">
      <c r="B87" s="211" t="s">
        <v>78</v>
      </c>
      <c r="C87" s="292">
        <v>714285000</v>
      </c>
      <c r="D87" s="292">
        <v>714285000</v>
      </c>
      <c r="E87" s="79" t="str">
        <f>+IF(ABS($C87)&gt;='1. 중요성 기준'!$G$62,"Y","N")</f>
        <v>Y</v>
      </c>
      <c r="F87" s="67" t="s">
        <v>49</v>
      </c>
      <c r="G87" s="67" t="s">
        <v>49</v>
      </c>
      <c r="H87" s="67" t="s">
        <v>49</v>
      </c>
      <c r="I87" s="67" t="s">
        <v>49</v>
      </c>
      <c r="J87" s="67" t="s">
        <v>49</v>
      </c>
      <c r="K87" s="67" t="s">
        <v>49</v>
      </c>
      <c r="L87" s="67" t="s">
        <v>49</v>
      </c>
      <c r="M87" s="67" t="s">
        <v>49</v>
      </c>
      <c r="N87" s="67" t="s">
        <v>49</v>
      </c>
      <c r="O87" s="67" t="s">
        <v>49</v>
      </c>
      <c r="P87" s="68" t="s">
        <v>318</v>
      </c>
      <c r="Q87" s="217" t="s">
        <v>319</v>
      </c>
      <c r="R87" s="71" t="s">
        <v>318</v>
      </c>
      <c r="S87" s="26"/>
      <c r="T87" s="73"/>
      <c r="U87" s="72"/>
      <c r="V87" s="72"/>
      <c r="W87" s="72"/>
      <c r="X87" s="72"/>
      <c r="Y87" s="73"/>
    </row>
    <row r="88" spans="2:25" s="233" customFormat="1" ht="12" customHeight="1" x14ac:dyDescent="0.25">
      <c r="B88" s="234" t="s">
        <v>296</v>
      </c>
      <c r="C88" s="293">
        <f>SUM(C89:C91)</f>
        <v>1694244186</v>
      </c>
      <c r="D88" s="293">
        <f>SUM(D89:D91)</f>
        <v>1694244186</v>
      </c>
      <c r="E88" s="235"/>
      <c r="F88" s="240"/>
      <c r="G88" s="240"/>
      <c r="H88" s="240"/>
      <c r="I88" s="240"/>
      <c r="J88" s="240"/>
      <c r="K88" s="240"/>
      <c r="L88" s="240"/>
      <c r="M88" s="240"/>
      <c r="N88" s="240"/>
      <c r="O88" s="240"/>
      <c r="P88" s="241"/>
      <c r="Q88" s="235"/>
      <c r="R88" s="230"/>
      <c r="S88" s="237"/>
      <c r="T88" s="230"/>
      <c r="U88" s="230"/>
      <c r="V88" s="230"/>
      <c r="W88" s="230"/>
      <c r="X88" s="230"/>
      <c r="Y88" s="230"/>
    </row>
    <row r="89" spans="2:25" ht="12" customHeight="1" x14ac:dyDescent="0.25">
      <c r="B89" s="211" t="s">
        <v>412</v>
      </c>
      <c r="C89" s="292">
        <v>1284088840</v>
      </c>
      <c r="D89" s="292">
        <v>1284088840</v>
      </c>
      <c r="E89" s="79" t="str">
        <f>+IF(ABS($C89)&gt;='1. 중요성 기준'!$G$62,"Y","N")</f>
        <v>Y</v>
      </c>
      <c r="F89" s="67" t="s">
        <v>49</v>
      </c>
      <c r="G89" s="67" t="s">
        <v>49</v>
      </c>
      <c r="H89" s="67" t="s">
        <v>49</v>
      </c>
      <c r="I89" s="67" t="s">
        <v>49</v>
      </c>
      <c r="J89" s="67" t="s">
        <v>49</v>
      </c>
      <c r="K89" s="67" t="s">
        <v>49</v>
      </c>
      <c r="L89" s="67" t="s">
        <v>49</v>
      </c>
      <c r="M89" s="67" t="s">
        <v>49</v>
      </c>
      <c r="N89" s="67" t="s">
        <v>49</v>
      </c>
      <c r="O89" s="67" t="s">
        <v>49</v>
      </c>
      <c r="P89" s="68" t="str">
        <f t="shared" ref="P89:P91" si="15">IF(SUM(COUNTIF($F89:$O89,"High")*$C$12+COUNTIF($F89:$O89,"Medium")*$C$13+COUNTIF($F89:$O89,"Low")*$C$14)/10&gt;=2,"Y","N")</f>
        <v>N</v>
      </c>
      <c r="Q89" s="217" t="s">
        <v>319</v>
      </c>
      <c r="R89" s="71" t="s">
        <v>318</v>
      </c>
      <c r="S89" s="26"/>
      <c r="T89" s="73"/>
      <c r="U89" s="72"/>
      <c r="V89" s="72"/>
      <c r="W89" s="72"/>
      <c r="X89" s="72"/>
      <c r="Y89" s="73"/>
    </row>
    <row r="90" spans="2:25" ht="12" customHeight="1" x14ac:dyDescent="0.25">
      <c r="B90" s="211" t="s">
        <v>413</v>
      </c>
      <c r="C90" s="292">
        <v>18353650</v>
      </c>
      <c r="D90" s="292">
        <v>18353650</v>
      </c>
      <c r="E90" s="79" t="str">
        <f>+IF(ABS($C90)&gt;='1. 중요성 기준'!$G$62,"Y","N")</f>
        <v>N</v>
      </c>
      <c r="F90" s="67" t="s">
        <v>49</v>
      </c>
      <c r="G90" s="67" t="s">
        <v>49</v>
      </c>
      <c r="H90" s="67" t="s">
        <v>55</v>
      </c>
      <c r="I90" s="67" t="s">
        <v>49</v>
      </c>
      <c r="J90" s="67" t="s">
        <v>49</v>
      </c>
      <c r="K90" s="67" t="s">
        <v>49</v>
      </c>
      <c r="L90" s="67" t="s">
        <v>49</v>
      </c>
      <c r="M90" s="67" t="s">
        <v>49</v>
      </c>
      <c r="N90" s="67" t="s">
        <v>49</v>
      </c>
      <c r="O90" s="67" t="s">
        <v>49</v>
      </c>
      <c r="P90" s="68" t="str">
        <f t="shared" si="15"/>
        <v>N</v>
      </c>
      <c r="Q90" s="217" t="s">
        <v>213</v>
      </c>
      <c r="R90" s="71" t="str">
        <f t="shared" ref="R90" si="16">IF(COUNTIF($E90:$P90,"Y")&gt;0,"Y","N")</f>
        <v>N</v>
      </c>
      <c r="S90" s="26"/>
      <c r="T90" s="73"/>
      <c r="U90" s="72"/>
      <c r="V90" s="72"/>
      <c r="W90" s="72"/>
      <c r="X90" s="72"/>
      <c r="Y90" s="73"/>
    </row>
    <row r="91" spans="2:25" ht="12" customHeight="1" x14ac:dyDescent="0.25">
      <c r="B91" s="211" t="s">
        <v>414</v>
      </c>
      <c r="C91" s="292">
        <v>391801696</v>
      </c>
      <c r="D91" s="292">
        <v>391801696</v>
      </c>
      <c r="E91" s="79" t="str">
        <f>+IF(ABS($C91)&gt;='1. 중요성 기준'!$G$62,"Y","N")</f>
        <v>Y</v>
      </c>
      <c r="F91" s="67" t="s">
        <v>49</v>
      </c>
      <c r="G91" s="67" t="s">
        <v>49</v>
      </c>
      <c r="H91" s="67" t="s">
        <v>49</v>
      </c>
      <c r="I91" s="67" t="s">
        <v>49</v>
      </c>
      <c r="J91" s="67" t="s">
        <v>49</v>
      </c>
      <c r="K91" s="67" t="s">
        <v>49</v>
      </c>
      <c r="L91" s="67" t="s">
        <v>49</v>
      </c>
      <c r="M91" s="67" t="s">
        <v>49</v>
      </c>
      <c r="N91" s="67" t="s">
        <v>49</v>
      </c>
      <c r="O91" s="67" t="s">
        <v>49</v>
      </c>
      <c r="P91" s="68" t="str">
        <f t="shared" si="15"/>
        <v>N</v>
      </c>
      <c r="Q91" s="217" t="s">
        <v>319</v>
      </c>
      <c r="R91" s="71" t="s">
        <v>318</v>
      </c>
      <c r="S91" s="26"/>
      <c r="T91" s="73"/>
      <c r="U91" s="72"/>
      <c r="V91" s="72"/>
      <c r="W91" s="72"/>
      <c r="X91" s="72"/>
      <c r="Y91" s="73"/>
    </row>
    <row r="92" spans="2:25" s="238" customFormat="1" ht="12" customHeight="1" x14ac:dyDescent="0.25">
      <c r="B92" s="234" t="s">
        <v>297</v>
      </c>
      <c r="C92" s="293">
        <f>SUM(C93:C93)</f>
        <v>-265023370</v>
      </c>
      <c r="D92" s="293">
        <f>SUM(D93:D93)</f>
        <v>-265023370</v>
      </c>
      <c r="E92" s="239"/>
      <c r="F92" s="240"/>
      <c r="G92" s="240"/>
      <c r="H92" s="240"/>
      <c r="I92" s="240"/>
      <c r="J92" s="240"/>
      <c r="K92" s="240"/>
      <c r="L92" s="240"/>
      <c r="M92" s="240"/>
      <c r="N92" s="240"/>
      <c r="O92" s="240"/>
      <c r="P92" s="241"/>
      <c r="Q92" s="239"/>
      <c r="R92" s="242"/>
      <c r="S92" s="243"/>
      <c r="T92" s="242"/>
      <c r="U92" s="242"/>
      <c r="V92" s="242"/>
      <c r="W92" s="242"/>
      <c r="X92" s="242"/>
      <c r="Y92" s="242"/>
    </row>
    <row r="93" spans="2:25" ht="12" customHeight="1" x14ac:dyDescent="0.25">
      <c r="B93" s="211" t="s">
        <v>298</v>
      </c>
      <c r="C93" s="292">
        <v>-265023370</v>
      </c>
      <c r="D93" s="292">
        <v>-265023370</v>
      </c>
      <c r="E93" s="79" t="str">
        <f>+IF(ABS($C93)&gt;='1. 중요성 기준'!$G$62,"Y","N")</f>
        <v>Y</v>
      </c>
      <c r="F93" s="67" t="s">
        <v>49</v>
      </c>
      <c r="G93" s="67" t="s">
        <v>49</v>
      </c>
      <c r="H93" s="67" t="s">
        <v>49</v>
      </c>
      <c r="I93" s="67" t="s">
        <v>49</v>
      </c>
      <c r="J93" s="67" t="s">
        <v>49</v>
      </c>
      <c r="K93" s="67" t="s">
        <v>49</v>
      </c>
      <c r="L93" s="67" t="s">
        <v>49</v>
      </c>
      <c r="M93" s="67" t="s">
        <v>49</v>
      </c>
      <c r="N93" s="67" t="s">
        <v>49</v>
      </c>
      <c r="O93" s="67" t="s">
        <v>49</v>
      </c>
      <c r="P93" s="68" t="str">
        <f t="shared" ref="P93" si="17">IF(SUM(COUNTIF($F93:$O93,"High")*$C$12+COUNTIF($F93:$O93,"Medium")*$C$13+COUNTIF($F93:$O93,"Low")*$C$14)/10&gt;=2,"Y","N")</f>
        <v>N</v>
      </c>
      <c r="Q93" s="217" t="s">
        <v>319</v>
      </c>
      <c r="R93" s="71" t="s">
        <v>318</v>
      </c>
      <c r="S93" s="26"/>
      <c r="T93" s="73"/>
      <c r="U93" s="72"/>
      <c r="V93" s="72"/>
      <c r="W93" s="72"/>
      <c r="X93" s="72"/>
      <c r="Y93" s="73"/>
    </row>
    <row r="94" spans="2:25" s="238" customFormat="1" ht="12" customHeight="1" x14ac:dyDescent="0.25">
      <c r="B94" s="234" t="s">
        <v>299</v>
      </c>
      <c r="C94" s="293">
        <f>SUM(C95:C96)</f>
        <v>-5513271</v>
      </c>
      <c r="D94" s="293">
        <f>SUM(D95:D96)</f>
        <v>-15499072</v>
      </c>
      <c r="E94" s="239"/>
      <c r="F94" s="240"/>
      <c r="G94" s="240"/>
      <c r="H94" s="240"/>
      <c r="I94" s="240"/>
      <c r="J94" s="240"/>
      <c r="K94" s="240"/>
      <c r="L94" s="240"/>
      <c r="M94" s="240"/>
      <c r="N94" s="240"/>
      <c r="O94" s="240"/>
      <c r="P94" s="241"/>
      <c r="Q94" s="239"/>
      <c r="R94" s="242"/>
      <c r="S94" s="243"/>
      <c r="T94" s="242"/>
      <c r="U94" s="242"/>
      <c r="V94" s="242"/>
      <c r="W94" s="242"/>
      <c r="X94" s="242"/>
      <c r="Y94" s="242"/>
    </row>
    <row r="95" spans="2:25" ht="12" customHeight="1" x14ac:dyDescent="0.25">
      <c r="B95" s="211" t="s">
        <v>415</v>
      </c>
      <c r="C95" s="292">
        <v>12379576</v>
      </c>
      <c r="D95" s="292">
        <v>0</v>
      </c>
      <c r="E95" s="79" t="str">
        <f>+IF(ABS($C95)&gt;='1. 중요성 기준'!$G$62,"Y","N")</f>
        <v>N</v>
      </c>
      <c r="F95" s="67" t="s">
        <v>49</v>
      </c>
      <c r="G95" s="67" t="s">
        <v>49</v>
      </c>
      <c r="H95" s="67" t="s">
        <v>55</v>
      </c>
      <c r="I95" s="67" t="s">
        <v>49</v>
      </c>
      <c r="J95" s="67" t="s">
        <v>49</v>
      </c>
      <c r="K95" s="67" t="s">
        <v>49</v>
      </c>
      <c r="L95" s="67" t="s">
        <v>49</v>
      </c>
      <c r="M95" s="67" t="s">
        <v>49</v>
      </c>
      <c r="N95" s="67" t="s">
        <v>49</v>
      </c>
      <c r="O95" s="67" t="s">
        <v>49</v>
      </c>
      <c r="P95" s="68" t="str">
        <f t="shared" ref="P95:P96" si="18">IF(SUM(COUNTIF($F95:$O95,"High")*$C$12+COUNTIF($F95:$O95,"Medium")*$C$13+COUNTIF($F95:$O95,"Low")*$C$14)/10&gt;=2,"Y","N")</f>
        <v>N</v>
      </c>
      <c r="Q95" s="217" t="s">
        <v>213</v>
      </c>
      <c r="R95" s="71" t="str">
        <f t="shared" ref="R95:R96" si="19">IF(COUNTIF($E95:$P95,"Y")&gt;0,"Y","N")</f>
        <v>N</v>
      </c>
      <c r="S95" s="26"/>
      <c r="T95" s="73"/>
      <c r="U95" s="72"/>
      <c r="V95" s="72"/>
      <c r="W95" s="73"/>
      <c r="X95" s="72"/>
      <c r="Y95" s="73"/>
    </row>
    <row r="96" spans="2:25" ht="12" customHeight="1" x14ac:dyDescent="0.25">
      <c r="B96" s="211" t="s">
        <v>416</v>
      </c>
      <c r="C96" s="292">
        <v>-17892847</v>
      </c>
      <c r="D96" s="292">
        <v>-15499072</v>
      </c>
      <c r="E96" s="79" t="str">
        <f>+IF(ABS($C96)&gt;='1. 중요성 기준'!$G$62,"Y","N")</f>
        <v>N</v>
      </c>
      <c r="F96" s="67" t="s">
        <v>49</v>
      </c>
      <c r="G96" s="67" t="s">
        <v>49</v>
      </c>
      <c r="H96" s="67" t="s">
        <v>55</v>
      </c>
      <c r="I96" s="67" t="s">
        <v>49</v>
      </c>
      <c r="J96" s="67" t="s">
        <v>49</v>
      </c>
      <c r="K96" s="67" t="s">
        <v>49</v>
      </c>
      <c r="L96" s="67" t="s">
        <v>49</v>
      </c>
      <c r="M96" s="67" t="s">
        <v>49</v>
      </c>
      <c r="N96" s="67" t="s">
        <v>49</v>
      </c>
      <c r="O96" s="67" t="s">
        <v>49</v>
      </c>
      <c r="P96" s="68" t="str">
        <f t="shared" si="18"/>
        <v>N</v>
      </c>
      <c r="Q96" s="217" t="s">
        <v>213</v>
      </c>
      <c r="R96" s="71" t="str">
        <f t="shared" si="19"/>
        <v>N</v>
      </c>
      <c r="S96" s="26"/>
      <c r="T96" s="73"/>
      <c r="U96" s="72"/>
      <c r="V96" s="72"/>
      <c r="W96" s="73"/>
      <c r="X96" s="72"/>
      <c r="Y96" s="73"/>
    </row>
    <row r="97" spans="2:25" s="238" customFormat="1" ht="12" customHeight="1" x14ac:dyDescent="0.25">
      <c r="B97" s="291" t="s">
        <v>269</v>
      </c>
      <c r="C97" s="293">
        <f>SUM(C98:C99)</f>
        <v>25343253590</v>
      </c>
      <c r="D97" s="293">
        <f>SUM(D98:D99)</f>
        <v>21334193687</v>
      </c>
      <c r="E97" s="239"/>
      <c r="F97" s="240"/>
      <c r="G97" s="240"/>
      <c r="H97" s="240"/>
      <c r="I97" s="240"/>
      <c r="J97" s="240"/>
      <c r="K97" s="240"/>
      <c r="L97" s="240"/>
      <c r="M97" s="240"/>
      <c r="N97" s="240"/>
      <c r="O97" s="240"/>
      <c r="P97" s="241"/>
      <c r="Q97" s="239"/>
      <c r="R97" s="242"/>
      <c r="S97" s="243"/>
      <c r="T97" s="242"/>
      <c r="U97" s="242"/>
      <c r="V97" s="242"/>
      <c r="W97" s="242"/>
      <c r="X97" s="242"/>
      <c r="Y97" s="242"/>
    </row>
    <row r="98" spans="2:25" ht="12" customHeight="1" x14ac:dyDescent="0.25">
      <c r="B98" s="211" t="s">
        <v>208</v>
      </c>
      <c r="C98" s="292">
        <v>121086300</v>
      </c>
      <c r="D98" s="292">
        <v>80521200</v>
      </c>
      <c r="E98" s="79" t="str">
        <f>+IF(ABS($C98)&gt;='1. 중요성 기준'!$G$62,"Y","N")</f>
        <v>N</v>
      </c>
      <c r="F98" s="67" t="s">
        <v>49</v>
      </c>
      <c r="G98" s="67" t="s">
        <v>49</v>
      </c>
      <c r="H98" s="67" t="s">
        <v>49</v>
      </c>
      <c r="I98" s="67" t="s">
        <v>49</v>
      </c>
      <c r="J98" s="67" t="s">
        <v>49</v>
      </c>
      <c r="K98" s="67" t="s">
        <v>49</v>
      </c>
      <c r="L98" s="67" t="s">
        <v>49</v>
      </c>
      <c r="M98" s="67" t="s">
        <v>49</v>
      </c>
      <c r="N98" s="67" t="s">
        <v>49</v>
      </c>
      <c r="O98" s="67" t="s">
        <v>49</v>
      </c>
      <c r="P98" s="68" t="str">
        <f t="shared" ref="P98:P99" si="20">IF(SUM(COUNTIF($F98:$O98,"High")*$C$12+COUNTIF($F98:$O98,"Medium")*$C$13+COUNTIF($F98:$O98,"Low")*$C$14)/10&gt;=2,"Y","N")</f>
        <v>N</v>
      </c>
      <c r="Q98" s="217" t="s">
        <v>320</v>
      </c>
      <c r="R98" s="71" t="s">
        <v>318</v>
      </c>
      <c r="S98" s="26"/>
      <c r="T98" s="73"/>
      <c r="U98" s="72"/>
      <c r="V98" s="72"/>
      <c r="W98" s="72"/>
      <c r="X98" s="72"/>
      <c r="Y98" s="73"/>
    </row>
    <row r="99" spans="2:25" ht="12" customHeight="1" x14ac:dyDescent="0.25">
      <c r="B99" s="211" t="s">
        <v>79</v>
      </c>
      <c r="C99" s="292">
        <v>25222167290</v>
      </c>
      <c r="D99" s="292">
        <v>21253672487</v>
      </c>
      <c r="E99" s="79" t="str">
        <f>+IF(ABS($C99)&gt;='1. 중요성 기준'!$G$62,"Y","N")</f>
        <v>Y</v>
      </c>
      <c r="F99" s="67"/>
      <c r="G99" s="67"/>
      <c r="H99" s="67"/>
      <c r="I99" s="67"/>
      <c r="J99" s="67"/>
      <c r="K99" s="67"/>
      <c r="L99" s="67"/>
      <c r="M99" s="67"/>
      <c r="N99" s="67"/>
      <c r="O99" s="67"/>
      <c r="P99" s="68" t="str">
        <f t="shared" si="20"/>
        <v>N</v>
      </c>
      <c r="Q99" s="217" t="s">
        <v>320</v>
      </c>
      <c r="R99" s="71" t="s">
        <v>318</v>
      </c>
      <c r="S99" s="26"/>
      <c r="T99" s="73"/>
      <c r="U99" s="72"/>
      <c r="V99" s="72"/>
      <c r="W99" s="72"/>
      <c r="X99" s="73"/>
      <c r="Y99" s="73"/>
    </row>
    <row r="100" spans="2:25" s="233" customFormat="1" ht="12" customHeight="1" x14ac:dyDescent="0.25">
      <c r="B100" s="234" t="s">
        <v>80</v>
      </c>
      <c r="C100" s="293">
        <f>C86+C97+C92+C94+C88</f>
        <v>27481246135</v>
      </c>
      <c r="D100" s="293">
        <f>D86+D97+D92+D94+D88</f>
        <v>23462200431</v>
      </c>
      <c r="E100" s="235"/>
      <c r="F100" s="240"/>
      <c r="G100" s="240"/>
      <c r="H100" s="240"/>
      <c r="I100" s="240"/>
      <c r="J100" s="240"/>
      <c r="K100" s="240"/>
      <c r="L100" s="240"/>
      <c r="M100" s="240"/>
      <c r="N100" s="240"/>
      <c r="O100" s="240"/>
      <c r="P100" s="241"/>
      <c r="Q100" s="235"/>
      <c r="R100" s="230"/>
      <c r="S100" s="237"/>
      <c r="T100" s="230"/>
      <c r="U100" s="230"/>
      <c r="V100" s="230"/>
      <c r="W100" s="230"/>
      <c r="X100" s="230"/>
      <c r="Y100" s="230"/>
    </row>
    <row r="101" spans="2:25" ht="12" customHeight="1" x14ac:dyDescent="0.25">
      <c r="B101" s="52" t="s">
        <v>83</v>
      </c>
      <c r="C101" s="295">
        <f>C100+C84</f>
        <v>37014362128</v>
      </c>
      <c r="D101" s="295">
        <f>D100+D84</f>
        <v>35042541772</v>
      </c>
      <c r="E101" s="65"/>
      <c r="F101" s="69"/>
      <c r="G101" s="69"/>
      <c r="H101" s="69"/>
      <c r="I101" s="69"/>
      <c r="J101" s="69"/>
      <c r="K101" s="69"/>
      <c r="L101" s="69"/>
      <c r="M101" s="69"/>
      <c r="N101" s="69"/>
      <c r="O101" s="69"/>
      <c r="P101" s="65"/>
      <c r="Q101" s="65"/>
      <c r="R101" s="70"/>
      <c r="S101" s="26"/>
      <c r="T101" s="70"/>
      <c r="U101" s="70"/>
      <c r="V101" s="70"/>
      <c r="W101" s="70"/>
      <c r="X101" s="70"/>
      <c r="Y101" s="70"/>
    </row>
    <row r="102" spans="2:25" ht="12" customHeight="1" x14ac:dyDescent="0.25">
      <c r="B102" s="210"/>
      <c r="C102" s="296" t="b">
        <f>C65=C101</f>
        <v>1</v>
      </c>
      <c r="D102" s="296" t="b">
        <f>D65=D101</f>
        <v>1</v>
      </c>
      <c r="E102" s="204"/>
      <c r="F102" s="205"/>
      <c r="G102" s="205"/>
      <c r="H102" s="205"/>
      <c r="I102" s="205"/>
      <c r="J102" s="205"/>
      <c r="K102" s="205"/>
      <c r="L102" s="205"/>
      <c r="M102" s="205"/>
      <c r="N102" s="205"/>
      <c r="O102" s="205"/>
      <c r="P102" s="206"/>
      <c r="Q102" s="206"/>
      <c r="R102" s="209"/>
      <c r="S102" s="26"/>
      <c r="T102" s="209"/>
      <c r="U102" s="209"/>
      <c r="V102" s="209"/>
      <c r="W102" s="209"/>
      <c r="X102" s="209"/>
      <c r="Y102" s="209"/>
    </row>
    <row r="103" spans="2:25" ht="12" customHeight="1" x14ac:dyDescent="0.25">
      <c r="C103" s="297" t="b">
        <f>C100+C84=C65</f>
        <v>1</v>
      </c>
      <c r="D103" s="297" t="b">
        <f>D100+D84=D65</f>
        <v>1</v>
      </c>
    </row>
  </sheetData>
  <autoFilter ref="B17:Y103" xr:uid="{00000000-0001-0000-0400-00000000000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1">
    <mergeCell ref="F17:O17"/>
  </mergeCells>
  <phoneticPr fontId="18" type="noConversion"/>
  <conditionalFormatting sqref="E16:E109 F1:F15 F110:F1048576">
    <cfRule type="containsText" dxfId="152" priority="594" operator="containsText" text="y">
      <formula>NOT(ISERROR(SEARCH("y",E1)))</formula>
    </cfRule>
  </conditionalFormatting>
  <conditionalFormatting sqref="E21:E33 E64:E65 E69:E76 E98:E99">
    <cfRule type="cellIs" dxfId="151" priority="1180" operator="equal">
      <formula>"Y"</formula>
    </cfRule>
  </conditionalFormatting>
  <conditionalFormatting sqref="E37:E38">
    <cfRule type="cellIs" dxfId="150" priority="48" operator="equal">
      <formula>"Y"</formula>
    </cfRule>
  </conditionalFormatting>
  <conditionalFormatting sqref="E40:E42">
    <cfRule type="cellIs" dxfId="149" priority="47" operator="equal">
      <formula>"Y"</formula>
    </cfRule>
  </conditionalFormatting>
  <conditionalFormatting sqref="E44:E53">
    <cfRule type="cellIs" dxfId="148" priority="340" operator="equal">
      <formula>"Y"</formula>
    </cfRule>
  </conditionalFormatting>
  <conditionalFormatting sqref="E51">
    <cfRule type="cellIs" dxfId="147" priority="46" operator="equal">
      <formula>"Y"</formula>
    </cfRule>
  </conditionalFormatting>
  <conditionalFormatting sqref="E55:E59 E61:E62">
    <cfRule type="cellIs" dxfId="146" priority="338" operator="equal">
      <formula>"Y"</formula>
    </cfRule>
  </conditionalFormatting>
  <conditionalFormatting sqref="E55:E59">
    <cfRule type="cellIs" dxfId="145" priority="45" operator="equal">
      <formula>"Y"</formula>
    </cfRule>
  </conditionalFormatting>
  <conditionalFormatting sqref="E79:E83">
    <cfRule type="cellIs" dxfId="144" priority="327" operator="equal">
      <formula>"Y"</formula>
    </cfRule>
  </conditionalFormatting>
  <conditionalFormatting sqref="E87 E89:E91">
    <cfRule type="cellIs" dxfId="143" priority="334" operator="equal">
      <formula>"Y"</formula>
    </cfRule>
  </conditionalFormatting>
  <conditionalFormatting sqref="E90:E91">
    <cfRule type="cellIs" dxfId="142" priority="44" operator="equal">
      <formula>"Y"</formula>
    </cfRule>
  </conditionalFormatting>
  <conditionalFormatting sqref="E93 E95:E96">
    <cfRule type="cellIs" dxfId="141" priority="330" operator="equal">
      <formula>"Y"</formula>
    </cfRule>
  </conditionalFormatting>
  <conditionalFormatting sqref="E96">
    <cfRule type="cellIs" dxfId="140" priority="43" operator="equal">
      <formula>"Y"</formula>
    </cfRule>
  </conditionalFormatting>
  <conditionalFormatting sqref="F102:N102">
    <cfRule type="expression" dxfId="136" priority="1159">
      <formula>$E102="Y"</formula>
    </cfRule>
  </conditionalFormatting>
  <conditionalFormatting sqref="F21:O31">
    <cfRule type="containsText" dxfId="135" priority="392" operator="containsText" text="Y">
      <formula>NOT(ISERROR(SEARCH("Y",F21)))</formula>
    </cfRule>
    <cfRule type="containsText" dxfId="134" priority="391" operator="containsText" text="y">
      <formula>NOT(ISERROR(SEARCH("y",F21)))</formula>
    </cfRule>
    <cfRule type="cellIs" dxfId="133" priority="393" operator="equal">
      <formula>"Y"</formula>
    </cfRule>
  </conditionalFormatting>
  <conditionalFormatting sqref="F33:O33">
    <cfRule type="cellIs" dxfId="132" priority="302" operator="equal">
      <formula>"Y"</formula>
    </cfRule>
    <cfRule type="containsText" dxfId="131" priority="301" operator="containsText" text="Y">
      <formula>NOT(ISERROR(SEARCH("Y",F33)))</formula>
    </cfRule>
    <cfRule type="containsText" dxfId="130" priority="300" operator="containsText" text="y">
      <formula>NOT(ISERROR(SEARCH("y",F33)))</formula>
    </cfRule>
  </conditionalFormatting>
  <conditionalFormatting sqref="F72:O72">
    <cfRule type="expression" dxfId="129" priority="160">
      <formula>$E72="Y"</formula>
    </cfRule>
  </conditionalFormatting>
  <conditionalFormatting sqref="F76:O76">
    <cfRule type="expression" dxfId="128" priority="37">
      <formula>$E76="Y"</formula>
    </cfRule>
  </conditionalFormatting>
  <conditionalFormatting sqref="F79:O79">
    <cfRule type="expression" dxfId="127" priority="31">
      <formula>$E79="Y"</formula>
    </cfRule>
  </conditionalFormatting>
  <conditionalFormatting sqref="F83:O83">
    <cfRule type="expression" dxfId="126" priority="20">
      <formula>$E83="Y"</formula>
    </cfRule>
  </conditionalFormatting>
  <conditionalFormatting sqref="F21:P28">
    <cfRule type="expression" dxfId="125" priority="4">
      <formula>$E21="Y"</formula>
    </cfRule>
  </conditionalFormatting>
  <conditionalFormatting sqref="F44:P53">
    <cfRule type="expression" dxfId="124" priority="193">
      <formula>$E44="Y"</formula>
    </cfRule>
  </conditionalFormatting>
  <conditionalFormatting sqref="F60:P61">
    <cfRule type="expression" dxfId="123" priority="259">
      <formula>$E60="Y"</formula>
    </cfRule>
  </conditionalFormatting>
  <conditionalFormatting sqref="G29:P29 F33:P43 F54:P59 F62:G62 F97:O99 P97:P100 F63:P75">
    <cfRule type="expression" dxfId="122" priority="179">
      <formula>$E29="Y"</formula>
    </cfRule>
  </conditionalFormatting>
  <conditionalFormatting sqref="F76:P76">
    <cfRule type="expression" dxfId="121" priority="35">
      <formula>$E76="Y"</formula>
    </cfRule>
  </conditionalFormatting>
  <conditionalFormatting sqref="F79:P82">
    <cfRule type="expression" dxfId="120" priority="29">
      <formula>$E79="Y"</formula>
    </cfRule>
  </conditionalFormatting>
  <conditionalFormatting sqref="F83:P83">
    <cfRule type="expression" dxfId="119" priority="18">
      <formula>$E83="Y"</formula>
    </cfRule>
  </conditionalFormatting>
  <conditionalFormatting sqref="F84:P96">
    <cfRule type="expression" dxfId="118" priority="150">
      <formula>$E84="Y"</formula>
    </cfRule>
  </conditionalFormatting>
  <conditionalFormatting sqref="H53:O53">
    <cfRule type="expression" dxfId="114" priority="199">
      <formula>$E53="Y"</formula>
    </cfRule>
  </conditionalFormatting>
  <conditionalFormatting sqref="H55:O59 F61:O61 H62:O62 F77:P78 F87:O87">
    <cfRule type="expression" dxfId="113" priority="846">
      <formula>$E55="Y"</formula>
    </cfRule>
  </conditionalFormatting>
  <conditionalFormatting sqref="H70:O70">
    <cfRule type="expression" dxfId="112" priority="38">
      <formula>$E70="Y"</formula>
    </cfRule>
  </conditionalFormatting>
  <conditionalFormatting sqref="H81:O81">
    <cfRule type="expression" dxfId="111" priority="23">
      <formula>$E81="Y"</formula>
    </cfRule>
  </conditionalFormatting>
  <conditionalFormatting sqref="H90:O90">
    <cfRule type="expression" dxfId="110" priority="13">
      <formula>$E90="Y"</formula>
    </cfRule>
  </conditionalFormatting>
  <conditionalFormatting sqref="H95:O96">
    <cfRule type="expression" dxfId="109" priority="7">
      <formula>$E95="Y"</formula>
    </cfRule>
  </conditionalFormatting>
  <conditionalFormatting sqref="H62:P62">
    <cfRule type="expression" dxfId="108" priority="182">
      <formula>$E62="Y"</formula>
    </cfRule>
  </conditionalFormatting>
  <conditionalFormatting sqref="I30:J31">
    <cfRule type="containsText" dxfId="107" priority="419" operator="containsText" text="y">
      <formula>NOT(ISERROR(SEARCH("y",I30)))</formula>
    </cfRule>
    <cfRule type="containsText" dxfId="106" priority="420" operator="containsText" text="Y">
      <formula>NOT(ISERROR(SEARCH("Y",I30)))</formula>
    </cfRule>
    <cfRule type="cellIs" dxfId="105" priority="421" operator="equal">
      <formula>"Y"</formula>
    </cfRule>
    <cfRule type="expression" dxfId="104" priority="422">
      <formula>$E30="Y"</formula>
    </cfRule>
  </conditionalFormatting>
  <conditionalFormatting sqref="I33:J33">
    <cfRule type="containsText" dxfId="103" priority="307" operator="containsText" text="y">
      <formula>NOT(ISERROR(SEARCH("y",I33)))</formula>
    </cfRule>
    <cfRule type="containsText" dxfId="102" priority="308" operator="containsText" text="Y">
      <formula>NOT(ISERROR(SEARCH("Y",I33)))</formula>
    </cfRule>
    <cfRule type="cellIs" dxfId="101" priority="309" operator="equal">
      <formula>"Y"</formula>
    </cfRule>
    <cfRule type="expression" dxfId="100" priority="310">
      <formula>$E33="Y"</formula>
    </cfRule>
  </conditionalFormatting>
  <conditionalFormatting sqref="J30:O31">
    <cfRule type="expression" dxfId="99" priority="583">
      <formula>$E30="Y"</formula>
    </cfRule>
  </conditionalFormatting>
  <conditionalFormatting sqref="J33:O33 K53:K99 K21:K51">
    <cfRule type="expression" dxfId="98" priority="311">
      <formula>$E21="Y"</formula>
    </cfRule>
  </conditionalFormatting>
  <conditionalFormatting sqref="K52:K53">
    <cfRule type="expression" dxfId="97" priority="198">
      <formula>$E52="Y"</formula>
    </cfRule>
  </conditionalFormatting>
  <conditionalFormatting sqref="K72">
    <cfRule type="expression" dxfId="96" priority="161">
      <formula>$E72="Y"</formula>
    </cfRule>
  </conditionalFormatting>
  <conditionalFormatting sqref="K76">
    <cfRule type="expression" dxfId="95" priority="36">
      <formula>$E76="Y"</formula>
    </cfRule>
  </conditionalFormatting>
  <conditionalFormatting sqref="K79">
    <cfRule type="expression" dxfId="94" priority="30">
      <formula>$E79="Y"</formula>
    </cfRule>
  </conditionalFormatting>
  <conditionalFormatting sqref="K83">
    <cfRule type="expression" dxfId="93" priority="19">
      <formula>$E83="Y"</formula>
    </cfRule>
  </conditionalFormatting>
  <conditionalFormatting sqref="L30:O31">
    <cfRule type="expression" dxfId="92" priority="406">
      <formula>$E30="Y"</formula>
    </cfRule>
    <cfRule type="cellIs" dxfId="91" priority="405" operator="equal">
      <formula>"Y"</formula>
    </cfRule>
    <cfRule type="containsText" dxfId="90" priority="403" operator="containsText" text="y">
      <formula>NOT(ISERROR(SEARCH("y",L30)))</formula>
    </cfRule>
    <cfRule type="containsText" dxfId="89" priority="404" operator="containsText" text="Y">
      <formula>NOT(ISERROR(SEARCH("Y",L30)))</formula>
    </cfRule>
  </conditionalFormatting>
  <conditionalFormatting sqref="L33:O33">
    <cfRule type="expression" dxfId="85" priority="306">
      <formula>$E33="Y"</formula>
    </cfRule>
    <cfRule type="containsText" dxfId="84" priority="303" operator="containsText" text="y">
      <formula>NOT(ISERROR(SEARCH("y",L33)))</formula>
    </cfRule>
    <cfRule type="containsText" dxfId="83" priority="304" operator="containsText" text="Y">
      <formula>NOT(ISERROR(SEARCH("Y",L33)))</formula>
    </cfRule>
    <cfRule type="cellIs" dxfId="82" priority="305" operator="equal">
      <formula>"Y"</formula>
    </cfRule>
  </conditionalFormatting>
  <conditionalFormatting sqref="L99:O99">
    <cfRule type="expression" dxfId="81" priority="445">
      <formula>$E99="Y"</formula>
    </cfRule>
  </conditionalFormatting>
  <conditionalFormatting sqref="P21:P75">
    <cfRule type="containsText" dxfId="80" priority="181" operator="containsText" text="Y">
      <formula>NOT(ISERROR(SEARCH("Y",P21)))</formula>
    </cfRule>
  </conditionalFormatting>
  <conditionalFormatting sqref="P29:P33 F29:O31">
    <cfRule type="expression" dxfId="79" priority="573">
      <formula>$E29="Y"</formula>
    </cfRule>
  </conditionalFormatting>
  <conditionalFormatting sqref="P30:P33">
    <cfRule type="containsText" dxfId="78" priority="530" operator="containsText" text="Y">
      <formula>NOT(ISERROR(SEARCH("Y",P30)))</formula>
    </cfRule>
    <cfRule type="expression" dxfId="77" priority="529">
      <formula>$E30="Y"</formula>
    </cfRule>
  </conditionalFormatting>
  <conditionalFormatting sqref="P76">
    <cfRule type="containsText" dxfId="76" priority="34" operator="containsText" text="Y">
      <formula>NOT(ISERROR(SEARCH("Y",P76)))</formula>
    </cfRule>
  </conditionalFormatting>
  <conditionalFormatting sqref="P77:P78 R79:R83 P102:Q102">
    <cfRule type="containsText" dxfId="75" priority="1179" operator="containsText" text="Y">
      <formula>NOT(ISERROR(SEARCH("Y",P77)))</formula>
    </cfRule>
  </conditionalFormatting>
  <conditionalFormatting sqref="P79">
    <cfRule type="containsText" dxfId="74" priority="28" operator="containsText" text="Y">
      <formula>NOT(ISERROR(SEARCH("Y",P79)))</formula>
    </cfRule>
  </conditionalFormatting>
  <conditionalFormatting sqref="P83">
    <cfRule type="containsText" dxfId="73" priority="17" operator="containsText" text="Y">
      <formula>NOT(ISERROR(SEARCH("Y",P83)))</formula>
    </cfRule>
  </conditionalFormatting>
  <conditionalFormatting sqref="P87">
    <cfRule type="containsText" dxfId="72" priority="149" operator="containsText" text="Y">
      <formula>NOT(ISERROR(SEARCH("Y",P87)))</formula>
    </cfRule>
  </conditionalFormatting>
  <conditionalFormatting sqref="P88:P100 P84:P86 E21:E102 P80:P82 R21:R33 R64:R65 R69:R76 R98:R99">
    <cfRule type="containsText" dxfId="71" priority="195" operator="containsText" text="Y">
      <formula>NOT(ISERROR(SEARCH("Y",E21)))</formula>
    </cfRule>
  </conditionalFormatting>
  <conditionalFormatting sqref="Q87 Q93 Q98:Q99 Q21:Q33">
    <cfRule type="expression" dxfId="70" priority="2214">
      <formula>$E21="Y"</formula>
    </cfRule>
    <cfRule type="expression" dxfId="69" priority="2213">
      <formula>$B21=""</formula>
    </cfRule>
  </conditionalFormatting>
  <conditionalFormatting sqref="Q44:Q53 Q55:Q59">
    <cfRule type="expression" dxfId="68" priority="191">
      <formula>$B44=""</formula>
    </cfRule>
    <cfRule type="expression" dxfId="67" priority="192">
      <formula>$E44="Y"</formula>
    </cfRule>
  </conditionalFormatting>
  <conditionalFormatting sqref="Q61:Q62">
    <cfRule type="expression" dxfId="66" priority="53">
      <formula>$B61=""</formula>
    </cfRule>
    <cfRule type="expression" dxfId="65" priority="54">
      <formula>$E61="Y"</formula>
    </cfRule>
  </conditionalFormatting>
  <conditionalFormatting sqref="Q69:Q76">
    <cfRule type="expression" dxfId="64" priority="25">
      <formula>$E69="Y"</formula>
    </cfRule>
    <cfRule type="expression" dxfId="63" priority="24">
      <formula>$B69=""</formula>
    </cfRule>
  </conditionalFormatting>
  <conditionalFormatting sqref="Q79:Q83">
    <cfRule type="expression" dxfId="62" priority="15">
      <formula>$B79=""</formula>
    </cfRule>
    <cfRule type="expression" dxfId="61" priority="16">
      <formula>$E79="Y"</formula>
    </cfRule>
  </conditionalFormatting>
  <conditionalFormatting sqref="Q89:Q91">
    <cfRule type="expression" dxfId="60" priority="11">
      <formula>$B89=""</formula>
    </cfRule>
    <cfRule type="expression" dxfId="59" priority="12">
      <formula>$E89="Y"</formula>
    </cfRule>
  </conditionalFormatting>
  <conditionalFormatting sqref="Q95:Q96">
    <cfRule type="expression" dxfId="58" priority="5">
      <formula>$B95=""</formula>
    </cfRule>
    <cfRule type="expression" dxfId="57" priority="6">
      <formula>$E95="Y"</formula>
    </cfRule>
  </conditionalFormatting>
  <conditionalFormatting sqref="R37:R38">
    <cfRule type="containsText" dxfId="56" priority="41" operator="containsText" text="Y">
      <formula>NOT(ISERROR(SEARCH("Y",R37)))</formula>
    </cfRule>
  </conditionalFormatting>
  <conditionalFormatting sqref="R40:R42">
    <cfRule type="containsText" dxfId="55" priority="40" operator="containsText" text="Y">
      <formula>NOT(ISERROR(SEARCH("Y",R40)))</formula>
    </cfRule>
  </conditionalFormatting>
  <conditionalFormatting sqref="R44:R53">
    <cfRule type="containsText" dxfId="54" priority="39" operator="containsText" text="Y">
      <formula>NOT(ISERROR(SEARCH("Y",R44)))</formula>
    </cfRule>
  </conditionalFormatting>
  <conditionalFormatting sqref="R55:R59">
    <cfRule type="containsText" dxfId="53" priority="321" operator="containsText" text="Y">
      <formula>NOT(ISERROR(SEARCH("Y",R55)))</formula>
    </cfRule>
  </conditionalFormatting>
  <conditionalFormatting sqref="R61:R62">
    <cfRule type="containsText" dxfId="52" priority="319" operator="containsText" text="Y">
      <formula>NOT(ISERROR(SEARCH("Y",R61)))</formula>
    </cfRule>
  </conditionalFormatting>
  <conditionalFormatting sqref="R87">
    <cfRule type="containsText" dxfId="51" priority="536" operator="containsText" text="Y">
      <formula>NOT(ISERROR(SEARCH("Y",R87)))</formula>
    </cfRule>
  </conditionalFormatting>
  <conditionalFormatting sqref="R89:R91">
    <cfRule type="containsText" dxfId="50" priority="14" operator="containsText" text="Y">
      <formula>NOT(ISERROR(SEARCH("Y",R89)))</formula>
    </cfRule>
  </conditionalFormatting>
  <conditionalFormatting sqref="R93">
    <cfRule type="containsText" dxfId="49" priority="147" operator="containsText" text="Y">
      <formula>NOT(ISERROR(SEARCH("Y",R93)))</formula>
    </cfRule>
  </conditionalFormatting>
  <conditionalFormatting sqref="R95:R96">
    <cfRule type="containsText" dxfId="48" priority="145" operator="containsText" text="Y">
      <formula>NOT(ISERROR(SEARCH("Y",R95)))</formula>
    </cfRule>
  </conditionalFormatting>
  <conditionalFormatting sqref="Q64">
    <cfRule type="expression" dxfId="1" priority="2">
      <formula>$B64=""</formula>
    </cfRule>
    <cfRule type="expression" dxfId="2" priority="3">
      <formula>$E64="Y"</formula>
    </cfRule>
  </conditionalFormatting>
  <conditionalFormatting sqref="F32:O32">
    <cfRule type="expression" dxfId="0" priority="1">
      <formula>$E32="Y"</formula>
    </cfRule>
  </conditionalFormatting>
  <dataValidations count="2">
    <dataValidation type="list" allowBlank="1" showInputMessage="1" showErrorMessage="1" sqref="Y87 V64:W64 Y75:Y76 X80:Y82 X99:Y99 T61:T62 Y33 Y98 T69:T76 Y30:Y31 T55:T59 T87 T89:T91 Y89:Y91 Y93 T93 Y95:Y96 T95:T96 W61:Y62 Y40:Y42 W55:Y59 W40:W42 W95:W96 W32 V75:V76 W73:Y73 Y64 T64 T98:T99 T21:T33 W69:X69 U21:Y27 V79:W80 Y69:Y72 T79:T83 Y79 W74:W76 W82:W83 W30 U69:V73 V37:W38 W70:W72 T44:Y53 V28:W28" xr:uid="{00000000-0002-0000-0400-000000000000}">
      <formula1>"O"</formula1>
    </dataValidation>
    <dataValidation type="list" allowBlank="1" showInputMessage="1" showErrorMessage="1" sqref="F102:O102 F21:O99" xr:uid="{00000000-0002-0000-0400-000001000000}">
      <formula1>$B$12:$B$14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1"/>
  </sheetPr>
  <dimension ref="B2:Y82"/>
  <sheetViews>
    <sheetView showGridLines="0" zoomScale="85" zoomScaleNormal="85" workbookViewId="0">
      <pane xSplit="2" ySplit="17" topLeftCell="C21" activePane="bottomRight" state="frozen"/>
      <selection pane="topRight" activeCell="C1" sqref="C1"/>
      <selection pane="bottomLeft" activeCell="A18" sqref="A18"/>
      <selection pane="bottomRight" activeCell="Q78" sqref="Q78"/>
    </sheetView>
  </sheetViews>
  <sheetFormatPr defaultColWidth="9" defaultRowHeight="11.5" outlineLevelRow="1" outlineLevelCol="1" x14ac:dyDescent="0.25"/>
  <cols>
    <col min="1" max="1" width="3.33203125" style="6" customWidth="1"/>
    <col min="2" max="2" width="22.83203125" style="54" customWidth="1"/>
    <col min="3" max="3" width="17.33203125" style="54" customWidth="1" outlineLevel="1"/>
    <col min="4" max="4" width="17.33203125" style="54" customWidth="1"/>
    <col min="5" max="5" width="7.4140625" style="55" customWidth="1"/>
    <col min="6" max="7" width="5.5" style="50" customWidth="1"/>
    <col min="8" max="15" width="5.5" style="6" customWidth="1" outlineLevel="1"/>
    <col min="16" max="16" width="7.4140625" style="6" customWidth="1" outlineLevel="1"/>
    <col min="17" max="17" width="63.6640625" style="6" customWidth="1" outlineLevel="1"/>
    <col min="18" max="18" width="7.4140625" style="6" customWidth="1" outlineLevel="1"/>
    <col min="19" max="19" width="6.83203125" style="6" customWidth="1" outlineLevel="1"/>
    <col min="20" max="20" width="5.5" style="6" customWidth="1" outlineLevel="1"/>
    <col min="21" max="25" width="5.5" style="6" customWidth="1"/>
    <col min="26" max="16384" width="9" style="6"/>
  </cols>
  <sheetData>
    <row r="2" spans="2:25" ht="12" thickBot="1" x14ac:dyDescent="0.3">
      <c r="B2" s="27" t="s">
        <v>176</v>
      </c>
    </row>
    <row r="3" spans="2:25" x14ac:dyDescent="0.25">
      <c r="B3" s="29"/>
    </row>
    <row r="4" spans="2:25" hidden="1" outlineLevel="1" x14ac:dyDescent="0.25">
      <c r="B4" s="29" t="s">
        <v>51</v>
      </c>
    </row>
    <row r="5" spans="2:25" hidden="1" outlineLevel="1" x14ac:dyDescent="0.25">
      <c r="B5" s="6" t="s">
        <v>52</v>
      </c>
    </row>
    <row r="6" spans="2:25" hidden="1" outlineLevel="1" x14ac:dyDescent="0.25">
      <c r="B6" s="6"/>
    </row>
    <row r="7" spans="2:25" hidden="1" outlineLevel="1" x14ac:dyDescent="0.25">
      <c r="B7" s="29" t="s">
        <v>53</v>
      </c>
    </row>
    <row r="8" spans="2:25" hidden="1" outlineLevel="1" x14ac:dyDescent="0.25">
      <c r="B8" s="6" t="s">
        <v>54</v>
      </c>
      <c r="E8" s="50"/>
    </row>
    <row r="9" spans="2:25" hidden="1" outlineLevel="1" x14ac:dyDescent="0.25">
      <c r="B9" s="212" t="s">
        <v>190</v>
      </c>
      <c r="E9" s="50"/>
    </row>
    <row r="10" spans="2:25" hidden="1" outlineLevel="1" x14ac:dyDescent="0.25">
      <c r="B10" s="6" t="s">
        <v>56</v>
      </c>
      <c r="E10" s="50"/>
    </row>
    <row r="11" spans="2:25" ht="16" hidden="1" outlineLevel="1" x14ac:dyDescent="0.25">
      <c r="B11" s="56"/>
      <c r="C11" s="56"/>
      <c r="D11" s="56"/>
      <c r="E11" s="50"/>
      <c r="G11" s="57"/>
      <c r="H11" s="31"/>
    </row>
    <row r="12" spans="2:25" ht="16" hidden="1" outlineLevel="1" x14ac:dyDescent="0.25">
      <c r="B12" s="30" t="s">
        <v>50</v>
      </c>
      <c r="C12" s="30">
        <v>3</v>
      </c>
      <c r="D12" s="31"/>
      <c r="E12" s="50"/>
      <c r="G12" s="57"/>
      <c r="H12" s="31"/>
    </row>
    <row r="13" spans="2:25" ht="16" hidden="1" outlineLevel="1" x14ac:dyDescent="0.25">
      <c r="B13" s="30" t="s">
        <v>55</v>
      </c>
      <c r="C13" s="30">
        <v>2</v>
      </c>
      <c r="D13" s="31"/>
      <c r="E13" s="50"/>
      <c r="G13" s="57"/>
      <c r="H13" s="31"/>
    </row>
    <row r="14" spans="2:25" ht="16" hidden="1" outlineLevel="1" x14ac:dyDescent="0.25">
      <c r="B14" s="30" t="s">
        <v>49</v>
      </c>
      <c r="C14" s="30">
        <v>1</v>
      </c>
      <c r="D14" s="31"/>
      <c r="E14" s="50"/>
      <c r="G14" s="57"/>
      <c r="H14" s="31"/>
    </row>
    <row r="15" spans="2:25" collapsed="1" x14ac:dyDescent="0.25">
      <c r="D15" s="55"/>
      <c r="E15" s="50"/>
      <c r="G15" s="6"/>
    </row>
    <row r="16" spans="2:25" ht="96" customHeight="1" x14ac:dyDescent="0.25">
      <c r="B16" s="58"/>
      <c r="C16" s="50"/>
      <c r="D16" s="33" t="s">
        <v>115</v>
      </c>
      <c r="E16" s="6"/>
      <c r="F16" s="300" t="s">
        <v>84</v>
      </c>
      <c r="G16" s="301" t="s">
        <v>85</v>
      </c>
      <c r="H16" s="301" t="s">
        <v>86</v>
      </c>
      <c r="I16" s="301" t="s">
        <v>87</v>
      </c>
      <c r="J16" s="301" t="s">
        <v>88</v>
      </c>
      <c r="K16" s="301" t="s">
        <v>89</v>
      </c>
      <c r="L16" s="301" t="s">
        <v>90</v>
      </c>
      <c r="M16" s="301" t="s">
        <v>91</v>
      </c>
      <c r="N16" s="301" t="s">
        <v>92</v>
      </c>
      <c r="O16" s="301" t="s">
        <v>93</v>
      </c>
      <c r="P16" s="34"/>
      <c r="Q16" s="34"/>
      <c r="S16" s="35"/>
      <c r="T16" s="302" t="s">
        <v>469</v>
      </c>
      <c r="U16" s="302" t="s">
        <v>470</v>
      </c>
      <c r="V16" s="302" t="s">
        <v>321</v>
      </c>
      <c r="W16" s="302" t="s">
        <v>472</v>
      </c>
      <c r="X16" s="302" t="s">
        <v>473</v>
      </c>
      <c r="Y16" s="302" t="s">
        <v>474</v>
      </c>
    </row>
    <row r="17" spans="2:25" s="29" customFormat="1" ht="34.75" customHeight="1" x14ac:dyDescent="0.25">
      <c r="B17" s="311" t="s">
        <v>167</v>
      </c>
      <c r="C17" s="298" t="str">
        <f>'2.1 유의한 계정과목(BS)'!C17</f>
        <v>FY2022</v>
      </c>
      <c r="D17" s="298" t="str">
        <f>'2.1 유의한 계정과목(BS)'!D17</f>
        <v>FY2021</v>
      </c>
      <c r="E17" s="299" t="s">
        <v>283</v>
      </c>
      <c r="F17" s="370" t="s">
        <v>94</v>
      </c>
      <c r="G17" s="370"/>
      <c r="H17" s="370"/>
      <c r="I17" s="370"/>
      <c r="J17" s="370"/>
      <c r="K17" s="370"/>
      <c r="L17" s="370"/>
      <c r="M17" s="370"/>
      <c r="N17" s="370"/>
      <c r="O17" s="370"/>
      <c r="P17" s="299" t="s">
        <v>69</v>
      </c>
      <c r="Q17" s="299" t="s">
        <v>204</v>
      </c>
      <c r="R17" s="325" t="s">
        <v>96</v>
      </c>
      <c r="S17" s="99"/>
      <c r="T17" s="299"/>
      <c r="U17" s="299"/>
      <c r="V17" s="299"/>
      <c r="W17" s="299"/>
      <c r="X17" s="299"/>
      <c r="Y17" s="299"/>
    </row>
    <row r="18" spans="2:25" ht="12" customHeight="1" x14ac:dyDescent="0.25">
      <c r="B18" s="316" t="s">
        <v>421</v>
      </c>
      <c r="C18" s="295">
        <f>SUM(C19:C21)</f>
        <v>11141354865</v>
      </c>
      <c r="D18" s="295">
        <f>SUM(D19:D21)</f>
        <v>8915413700</v>
      </c>
      <c r="E18" s="37"/>
      <c r="F18" s="40"/>
      <c r="G18" s="40"/>
      <c r="H18" s="40"/>
      <c r="I18" s="40"/>
      <c r="J18" s="40"/>
      <c r="K18" s="40"/>
      <c r="L18" s="40"/>
      <c r="M18" s="40"/>
      <c r="N18" s="40"/>
      <c r="O18" s="40"/>
      <c r="P18" s="37"/>
      <c r="Q18" s="81"/>
      <c r="R18" s="37"/>
      <c r="T18" s="37"/>
      <c r="U18" s="37"/>
      <c r="V18" s="37"/>
      <c r="W18" s="37"/>
      <c r="X18" s="37"/>
      <c r="Y18" s="37"/>
    </row>
    <row r="19" spans="2:25" x14ac:dyDescent="0.25">
      <c r="B19" s="61" t="s">
        <v>417</v>
      </c>
      <c r="C19" s="292">
        <v>10725837726</v>
      </c>
      <c r="D19" s="292">
        <v>8664956434</v>
      </c>
      <c r="E19" s="64" t="str">
        <f>+IF(ABS($C19)&gt;='1. 중요성 기준'!$G$62,"Y","N")</f>
        <v>Y</v>
      </c>
      <c r="F19" s="64"/>
      <c r="G19" s="64"/>
      <c r="H19" s="64"/>
      <c r="I19" s="67"/>
      <c r="J19" s="67"/>
      <c r="K19" s="67"/>
      <c r="L19" s="67"/>
      <c r="M19" s="67"/>
      <c r="N19" s="67"/>
      <c r="O19" s="67"/>
      <c r="P19" s="68" t="str">
        <f>IF(SUM(COUNTIF($F19:$O19,"High")*$C$12+COUNTIF($F19:$O19,"Medium")*$C$13+COUNTIF($F19:$O19,"Low")*$C$14)/10&gt;=2,"Y","N")</f>
        <v>N</v>
      </c>
      <c r="Q19" s="80"/>
      <c r="R19" s="68" t="str">
        <f>IF(COUNTIF($E19:$P19,"Y")&gt;0,"Y","N")</f>
        <v>Y</v>
      </c>
      <c r="T19" s="73" t="s">
        <v>72</v>
      </c>
      <c r="U19" s="73"/>
      <c r="V19" s="73"/>
      <c r="W19" s="357" t="s">
        <v>843</v>
      </c>
      <c r="X19" s="73"/>
      <c r="Y19" s="73"/>
    </row>
    <row r="20" spans="2:25" ht="12" customHeight="1" x14ac:dyDescent="0.25">
      <c r="B20" s="61" t="s">
        <v>418</v>
      </c>
      <c r="C20" s="292">
        <v>263117139</v>
      </c>
      <c r="D20" s="292">
        <v>230257266</v>
      </c>
      <c r="E20" s="64" t="str">
        <f>+IF(ABS($C20)&gt;='1. 중요성 기준'!$G$62,"Y","N")</f>
        <v>Y</v>
      </c>
      <c r="F20" s="64" t="s">
        <v>50</v>
      </c>
      <c r="G20" s="64" t="s">
        <v>50</v>
      </c>
      <c r="H20" s="64" t="s">
        <v>50</v>
      </c>
      <c r="I20" s="67" t="s">
        <v>49</v>
      </c>
      <c r="J20" s="67" t="s">
        <v>50</v>
      </c>
      <c r="K20" s="67" t="s">
        <v>50</v>
      </c>
      <c r="L20" s="67" t="s">
        <v>55</v>
      </c>
      <c r="M20" s="67" t="s">
        <v>55</v>
      </c>
      <c r="N20" s="67" t="s">
        <v>55</v>
      </c>
      <c r="O20" s="67" t="s">
        <v>49</v>
      </c>
      <c r="P20" s="68" t="str">
        <f>IF(SUM(COUNTIF($F20:$O20,"High")*$C$12+COUNTIF($F20:$O20,"Medium")*$C$13+COUNTIF($F20:$O20,"Low")*$C$14)/10&gt;=2,"Y","N")</f>
        <v>Y</v>
      </c>
      <c r="Q20" s="217"/>
      <c r="R20" s="68" t="str">
        <f t="shared" ref="R20:R21" si="0">IF(COUNTIF($E20:$P20,"Y")&gt;0,"Y","N")</f>
        <v>Y</v>
      </c>
      <c r="T20" s="73" t="s">
        <v>72</v>
      </c>
      <c r="U20" s="73"/>
      <c r="V20" s="73"/>
      <c r="W20" s="357" t="s">
        <v>843</v>
      </c>
      <c r="X20" s="73"/>
      <c r="Y20" s="73"/>
    </row>
    <row r="21" spans="2:25" ht="12" customHeight="1" x14ac:dyDescent="0.25">
      <c r="B21" s="61" t="s">
        <v>419</v>
      </c>
      <c r="C21" s="292">
        <v>152400000</v>
      </c>
      <c r="D21" s="292">
        <v>20200000</v>
      </c>
      <c r="E21" s="64" t="str">
        <f>+IF(ABS($C21)&gt;='1. 중요성 기준'!$G$62,"Y","N")</f>
        <v>N</v>
      </c>
      <c r="F21" s="64" t="s">
        <v>49</v>
      </c>
      <c r="G21" s="64" t="s">
        <v>49</v>
      </c>
      <c r="H21" s="64" t="s">
        <v>49</v>
      </c>
      <c r="I21" s="67" t="s">
        <v>49</v>
      </c>
      <c r="J21" s="67" t="s">
        <v>50</v>
      </c>
      <c r="K21" s="67" t="s">
        <v>50</v>
      </c>
      <c r="L21" s="67" t="s">
        <v>55</v>
      </c>
      <c r="M21" s="64" t="s">
        <v>49</v>
      </c>
      <c r="N21" s="64" t="s">
        <v>49</v>
      </c>
      <c r="O21" s="67" t="s">
        <v>49</v>
      </c>
      <c r="P21" s="68" t="str">
        <f>IF(SUM(COUNTIF($F21:$O21,"High")*$C$12+COUNTIF($F21:$O21,"Medium")*$C$13+COUNTIF($F21:$O21,"Low")*$C$14)/10&gt;=2,"Y","N")</f>
        <v>N</v>
      </c>
      <c r="Q21" s="217" t="s">
        <v>322</v>
      </c>
      <c r="R21" s="68" t="str">
        <f t="shared" si="0"/>
        <v>N</v>
      </c>
      <c r="T21" s="73"/>
      <c r="U21" s="73"/>
      <c r="V21" s="73"/>
      <c r="W21" s="73"/>
      <c r="X21" s="73"/>
      <c r="Y21" s="73"/>
    </row>
    <row r="22" spans="2:25" ht="12" customHeight="1" x14ac:dyDescent="0.25">
      <c r="B22" s="60" t="s">
        <v>420</v>
      </c>
      <c r="C22" s="295">
        <f>SUM(C23:C48)</f>
        <v>6286911960</v>
      </c>
      <c r="D22" s="295">
        <f>SUM(D23:D48)</f>
        <v>5208317681</v>
      </c>
      <c r="E22" s="65"/>
      <c r="F22" s="69"/>
      <c r="G22" s="69"/>
      <c r="H22" s="69"/>
      <c r="I22" s="69"/>
      <c r="J22" s="69"/>
      <c r="K22" s="69"/>
      <c r="L22" s="69"/>
      <c r="M22" s="69"/>
      <c r="N22" s="69"/>
      <c r="O22" s="69"/>
      <c r="P22" s="65"/>
      <c r="Q22" s="81"/>
      <c r="R22" s="65"/>
      <c r="S22" s="50"/>
      <c r="T22" s="73"/>
      <c r="U22" s="73"/>
      <c r="V22" s="73"/>
      <c r="W22" s="73"/>
      <c r="X22" s="73"/>
      <c r="Y22" s="73"/>
    </row>
    <row r="23" spans="2:25" ht="12" customHeight="1" x14ac:dyDescent="0.25">
      <c r="B23" s="63" t="s">
        <v>428</v>
      </c>
      <c r="C23" s="292">
        <v>1125784179</v>
      </c>
      <c r="D23" s="292">
        <v>1143183620</v>
      </c>
      <c r="E23" s="64" t="str">
        <f>+IF(ABS($C23)&gt;='1. 중요성 기준'!$G$62,"Y","N")</f>
        <v>Y</v>
      </c>
      <c r="F23" s="67"/>
      <c r="G23" s="67"/>
      <c r="H23" s="67"/>
      <c r="I23" s="67"/>
      <c r="J23" s="67"/>
      <c r="K23" s="67"/>
      <c r="L23" s="67"/>
      <c r="M23" s="67"/>
      <c r="N23" s="67"/>
      <c r="O23" s="67"/>
      <c r="P23" s="68" t="str">
        <f t="shared" ref="P23:P48" si="1">IF(SUM(COUNTIF($F23:$O23,"High")*$C$12+COUNTIF($F23:$O23,"Medium")*$C$13+COUNTIF($F23:$O23,"Low")*$C$14)/10&gt;=2,"Y","N")</f>
        <v>N</v>
      </c>
      <c r="Q23" s="81"/>
      <c r="R23" s="68" t="str">
        <f t="shared" ref="R23:R48" si="2">IF(COUNTIF($E23:$P23,"Y")&gt;0,"Y","N")</f>
        <v>Y</v>
      </c>
      <c r="S23" s="50"/>
      <c r="T23" s="73"/>
      <c r="U23" s="73"/>
      <c r="V23" s="73"/>
      <c r="W23" s="357" t="s">
        <v>843</v>
      </c>
      <c r="X23" s="73" t="s">
        <v>72</v>
      </c>
      <c r="Y23" s="73"/>
    </row>
    <row r="24" spans="2:25" ht="12" customHeight="1" x14ac:dyDescent="0.25">
      <c r="B24" s="63" t="s">
        <v>429</v>
      </c>
      <c r="C24" s="292">
        <v>-970091</v>
      </c>
      <c r="D24" s="292">
        <v>50900155</v>
      </c>
      <c r="E24" s="64" t="str">
        <f>+IF(ABS($C24)&gt;='1. 중요성 기준'!$G$62,"Y","N")</f>
        <v>N</v>
      </c>
      <c r="F24" s="67" t="s">
        <v>50</v>
      </c>
      <c r="G24" s="67" t="s">
        <v>50</v>
      </c>
      <c r="H24" s="67" t="s">
        <v>50</v>
      </c>
      <c r="I24" s="67" t="s">
        <v>55</v>
      </c>
      <c r="J24" s="67" t="s">
        <v>49</v>
      </c>
      <c r="K24" s="67" t="s">
        <v>50</v>
      </c>
      <c r="L24" s="67" t="s">
        <v>49</v>
      </c>
      <c r="M24" s="67" t="s">
        <v>49</v>
      </c>
      <c r="N24" s="67" t="s">
        <v>55</v>
      </c>
      <c r="O24" s="67" t="s">
        <v>49</v>
      </c>
      <c r="P24" s="68" t="str">
        <f t="shared" si="1"/>
        <v>Y</v>
      </c>
      <c r="Q24" s="217" t="s">
        <v>317</v>
      </c>
      <c r="R24" s="68" t="str">
        <f t="shared" si="2"/>
        <v>Y</v>
      </c>
      <c r="S24" s="50"/>
      <c r="T24" s="73"/>
      <c r="U24" s="73"/>
      <c r="V24" s="73"/>
      <c r="W24" s="357" t="s">
        <v>843</v>
      </c>
      <c r="X24" s="73" t="s">
        <v>72</v>
      </c>
      <c r="Y24" s="73"/>
    </row>
    <row r="25" spans="2:25" ht="12" customHeight="1" x14ac:dyDescent="0.25">
      <c r="B25" s="63" t="s">
        <v>430</v>
      </c>
      <c r="C25" s="292">
        <v>71054160</v>
      </c>
      <c r="D25" s="292">
        <v>89006740</v>
      </c>
      <c r="E25" s="64" t="str">
        <f>+IF(ABS($C25)&gt;='1. 중요성 기준'!$G$62,"Y","N")</f>
        <v>N</v>
      </c>
      <c r="F25" s="67" t="s">
        <v>50</v>
      </c>
      <c r="G25" s="67" t="s">
        <v>50</v>
      </c>
      <c r="H25" s="67" t="s">
        <v>50</v>
      </c>
      <c r="I25" s="67" t="s">
        <v>55</v>
      </c>
      <c r="J25" s="67" t="s">
        <v>49</v>
      </c>
      <c r="K25" s="67" t="s">
        <v>50</v>
      </c>
      <c r="L25" s="67" t="s">
        <v>49</v>
      </c>
      <c r="M25" s="67" t="s">
        <v>49</v>
      </c>
      <c r="N25" s="67" t="s">
        <v>55</v>
      </c>
      <c r="O25" s="67" t="s">
        <v>49</v>
      </c>
      <c r="P25" s="68" t="str">
        <f t="shared" si="1"/>
        <v>Y</v>
      </c>
      <c r="Q25" s="217" t="s">
        <v>317</v>
      </c>
      <c r="R25" s="68" t="str">
        <f t="shared" si="2"/>
        <v>Y</v>
      </c>
      <c r="S25" s="50"/>
      <c r="T25" s="73"/>
      <c r="U25" s="73"/>
      <c r="V25" s="73"/>
      <c r="W25" s="357" t="s">
        <v>843</v>
      </c>
      <c r="X25" s="73" t="s">
        <v>72</v>
      </c>
      <c r="Y25" s="73"/>
    </row>
    <row r="26" spans="2:25" ht="12" customHeight="1" x14ac:dyDescent="0.25">
      <c r="B26" s="63" t="s">
        <v>431</v>
      </c>
      <c r="C26" s="292">
        <v>1062500</v>
      </c>
      <c r="D26" s="292">
        <v>0</v>
      </c>
      <c r="E26" s="64" t="str">
        <f>+IF(ABS($C26)&gt;='1. 중요성 기준'!$G$62,"Y","N")</f>
        <v>N</v>
      </c>
      <c r="F26" s="67" t="s">
        <v>49</v>
      </c>
      <c r="G26" s="67" t="s">
        <v>49</v>
      </c>
      <c r="H26" s="67" t="s">
        <v>49</v>
      </c>
      <c r="I26" s="67" t="s">
        <v>49</v>
      </c>
      <c r="J26" s="67" t="s">
        <v>49</v>
      </c>
      <c r="K26" s="67" t="s">
        <v>49</v>
      </c>
      <c r="L26" s="67" t="s">
        <v>55</v>
      </c>
      <c r="M26" s="67" t="s">
        <v>49</v>
      </c>
      <c r="N26" s="67" t="s">
        <v>49</v>
      </c>
      <c r="O26" s="67" t="s">
        <v>49</v>
      </c>
      <c r="P26" s="68" t="str">
        <f t="shared" si="1"/>
        <v>N</v>
      </c>
      <c r="Q26" s="217" t="s">
        <v>213</v>
      </c>
      <c r="R26" s="68" t="str">
        <f t="shared" si="2"/>
        <v>N</v>
      </c>
      <c r="S26" s="50"/>
      <c r="T26" s="73"/>
      <c r="U26" s="73"/>
      <c r="V26" s="73"/>
      <c r="W26" s="73"/>
      <c r="X26" s="73"/>
      <c r="Y26" s="73"/>
    </row>
    <row r="27" spans="2:25" ht="12" customHeight="1" x14ac:dyDescent="0.25">
      <c r="B27" s="63" t="s">
        <v>370</v>
      </c>
      <c r="C27" s="292">
        <v>172516388</v>
      </c>
      <c r="D27" s="292">
        <v>215159411</v>
      </c>
      <c r="E27" s="64" t="str">
        <f>+IF(ABS($C27)&gt;='1. 중요성 기준'!$G$62,"Y","N")</f>
        <v>Y</v>
      </c>
      <c r="F27" s="67"/>
      <c r="G27" s="67"/>
      <c r="H27" s="67"/>
      <c r="I27" s="67"/>
      <c r="J27" s="67"/>
      <c r="K27" s="67"/>
      <c r="L27" s="67"/>
      <c r="M27" s="67"/>
      <c r="N27" s="67"/>
      <c r="O27" s="67"/>
      <c r="P27" s="68" t="str">
        <f t="shared" si="1"/>
        <v>N</v>
      </c>
      <c r="Q27" s="217"/>
      <c r="R27" s="68" t="str">
        <f t="shared" si="2"/>
        <v>Y</v>
      </c>
      <c r="S27" s="50"/>
      <c r="T27" s="73"/>
      <c r="U27" s="73" t="s">
        <v>72</v>
      </c>
      <c r="V27" s="73"/>
      <c r="W27" s="357" t="s">
        <v>843</v>
      </c>
      <c r="X27" s="73" t="s">
        <v>72</v>
      </c>
      <c r="Y27" s="73"/>
    </row>
    <row r="28" spans="2:25" ht="12" customHeight="1" x14ac:dyDescent="0.25">
      <c r="B28" s="63" t="s">
        <v>432</v>
      </c>
      <c r="C28" s="292">
        <v>27112121</v>
      </c>
      <c r="D28" s="292">
        <v>18808276</v>
      </c>
      <c r="E28" s="64" t="str">
        <f>+IF(ABS($C28)&gt;='1. 중요성 기준'!$G$62,"Y","N")</f>
        <v>N</v>
      </c>
      <c r="F28" s="67" t="s">
        <v>49</v>
      </c>
      <c r="G28" s="67" t="s">
        <v>49</v>
      </c>
      <c r="H28" s="67" t="s">
        <v>49</v>
      </c>
      <c r="I28" s="67" t="s">
        <v>49</v>
      </c>
      <c r="J28" s="67" t="s">
        <v>49</v>
      </c>
      <c r="K28" s="67" t="s">
        <v>49</v>
      </c>
      <c r="L28" s="67" t="s">
        <v>55</v>
      </c>
      <c r="M28" s="67" t="s">
        <v>49</v>
      </c>
      <c r="N28" s="67" t="s">
        <v>49</v>
      </c>
      <c r="O28" s="67" t="s">
        <v>49</v>
      </c>
      <c r="P28" s="68" t="str">
        <f t="shared" si="1"/>
        <v>N</v>
      </c>
      <c r="Q28" s="217" t="s">
        <v>213</v>
      </c>
      <c r="R28" s="68" t="str">
        <f t="shared" si="2"/>
        <v>N</v>
      </c>
      <c r="S28" s="50"/>
      <c r="T28" s="73"/>
      <c r="U28" s="73"/>
      <c r="V28" s="73"/>
      <c r="W28" s="73"/>
      <c r="X28" s="73"/>
      <c r="Y28" s="73"/>
    </row>
    <row r="29" spans="2:25" ht="12" customHeight="1" x14ac:dyDescent="0.25">
      <c r="B29" s="63" t="s">
        <v>433</v>
      </c>
      <c r="C29" s="292">
        <v>38837116</v>
      </c>
      <c r="D29" s="292">
        <v>51365780</v>
      </c>
      <c r="E29" s="64" t="str">
        <f>+IF(ABS($C29)&gt;='1. 중요성 기준'!$G$62,"Y","N")</f>
        <v>N</v>
      </c>
      <c r="F29" s="67" t="s">
        <v>49</v>
      </c>
      <c r="G29" s="67" t="s">
        <v>49</v>
      </c>
      <c r="H29" s="67" t="s">
        <v>49</v>
      </c>
      <c r="I29" s="67" t="s">
        <v>49</v>
      </c>
      <c r="J29" s="67" t="s">
        <v>49</v>
      </c>
      <c r="K29" s="67" t="s">
        <v>49</v>
      </c>
      <c r="L29" s="67" t="s">
        <v>55</v>
      </c>
      <c r="M29" s="67" t="s">
        <v>49</v>
      </c>
      <c r="N29" s="67" t="s">
        <v>49</v>
      </c>
      <c r="O29" s="67" t="s">
        <v>49</v>
      </c>
      <c r="P29" s="68" t="str">
        <f t="shared" si="1"/>
        <v>N</v>
      </c>
      <c r="Q29" s="217" t="s">
        <v>213</v>
      </c>
      <c r="R29" s="68" t="str">
        <f t="shared" si="2"/>
        <v>N</v>
      </c>
      <c r="S29" s="50"/>
      <c r="T29" s="73"/>
      <c r="U29" s="73"/>
      <c r="V29" s="73"/>
      <c r="W29" s="73"/>
      <c r="X29" s="73"/>
      <c r="Y29" s="73"/>
    </row>
    <row r="30" spans="2:25" ht="12" customHeight="1" x14ac:dyDescent="0.25">
      <c r="B30" s="63" t="s">
        <v>434</v>
      </c>
      <c r="C30" s="292">
        <v>20943484</v>
      </c>
      <c r="D30" s="292">
        <v>21746966</v>
      </c>
      <c r="E30" s="64" t="str">
        <f>+IF(ABS($C30)&gt;='1. 중요성 기준'!$G$62,"Y","N")</f>
        <v>N</v>
      </c>
      <c r="F30" s="67" t="s">
        <v>49</v>
      </c>
      <c r="G30" s="67" t="s">
        <v>49</v>
      </c>
      <c r="H30" s="67" t="s">
        <v>49</v>
      </c>
      <c r="I30" s="67" t="s">
        <v>49</v>
      </c>
      <c r="J30" s="67" t="s">
        <v>49</v>
      </c>
      <c r="K30" s="67" t="s">
        <v>49</v>
      </c>
      <c r="L30" s="67" t="s">
        <v>55</v>
      </c>
      <c r="M30" s="67" t="s">
        <v>49</v>
      </c>
      <c r="N30" s="67" t="s">
        <v>49</v>
      </c>
      <c r="O30" s="67" t="s">
        <v>49</v>
      </c>
      <c r="P30" s="68" t="str">
        <f t="shared" si="1"/>
        <v>N</v>
      </c>
      <c r="Q30" s="217" t="s">
        <v>213</v>
      </c>
      <c r="R30" s="68" t="str">
        <f t="shared" si="2"/>
        <v>N</v>
      </c>
      <c r="S30" s="50"/>
      <c r="T30" s="73"/>
      <c r="U30" s="73"/>
      <c r="V30" s="73"/>
      <c r="W30" s="73"/>
      <c r="X30" s="73"/>
      <c r="Y30" s="73"/>
    </row>
    <row r="31" spans="2:25" ht="12" customHeight="1" x14ac:dyDescent="0.25">
      <c r="B31" s="63" t="s">
        <v>435</v>
      </c>
      <c r="C31" s="292">
        <v>21906393</v>
      </c>
      <c r="D31" s="292">
        <v>4021581</v>
      </c>
      <c r="E31" s="64" t="str">
        <f>+IF(ABS($C31)&gt;='1. 중요성 기준'!$G$62,"Y","N")</f>
        <v>N</v>
      </c>
      <c r="F31" s="67" t="s">
        <v>49</v>
      </c>
      <c r="G31" s="67" t="s">
        <v>49</v>
      </c>
      <c r="H31" s="67" t="s">
        <v>49</v>
      </c>
      <c r="I31" s="67" t="s">
        <v>49</v>
      </c>
      <c r="J31" s="67" t="s">
        <v>49</v>
      </c>
      <c r="K31" s="67" t="s">
        <v>49</v>
      </c>
      <c r="L31" s="67" t="s">
        <v>55</v>
      </c>
      <c r="M31" s="67" t="s">
        <v>49</v>
      </c>
      <c r="N31" s="67" t="s">
        <v>49</v>
      </c>
      <c r="O31" s="67" t="s">
        <v>49</v>
      </c>
      <c r="P31" s="68" t="str">
        <f t="shared" si="1"/>
        <v>N</v>
      </c>
      <c r="Q31" s="217" t="s">
        <v>213</v>
      </c>
      <c r="R31" s="68" t="str">
        <f t="shared" si="2"/>
        <v>N</v>
      </c>
      <c r="S31" s="50"/>
      <c r="T31" s="73"/>
      <c r="U31" s="73"/>
      <c r="V31" s="73"/>
      <c r="W31" s="73"/>
      <c r="X31" s="73"/>
      <c r="Y31" s="73"/>
    </row>
    <row r="32" spans="2:25" ht="12" customHeight="1" x14ac:dyDescent="0.25">
      <c r="B32" s="63" t="s">
        <v>436</v>
      </c>
      <c r="C32" s="292">
        <v>40644028</v>
      </c>
      <c r="D32" s="292">
        <v>3230884</v>
      </c>
      <c r="E32" s="64" t="str">
        <f>+IF(ABS($C32)&gt;='1. 중요성 기준'!$G$62,"Y","N")</f>
        <v>N</v>
      </c>
      <c r="F32" s="67" t="s">
        <v>49</v>
      </c>
      <c r="G32" s="67" t="s">
        <v>49</v>
      </c>
      <c r="H32" s="67" t="s">
        <v>49</v>
      </c>
      <c r="I32" s="67" t="s">
        <v>49</v>
      </c>
      <c r="J32" s="67" t="s">
        <v>49</v>
      </c>
      <c r="K32" s="67" t="s">
        <v>49</v>
      </c>
      <c r="L32" s="67" t="s">
        <v>55</v>
      </c>
      <c r="M32" s="67" t="s">
        <v>49</v>
      </c>
      <c r="N32" s="67" t="s">
        <v>49</v>
      </c>
      <c r="O32" s="67" t="s">
        <v>49</v>
      </c>
      <c r="P32" s="68" t="str">
        <f t="shared" si="1"/>
        <v>N</v>
      </c>
      <c r="Q32" s="217" t="s">
        <v>213</v>
      </c>
      <c r="R32" s="68" t="str">
        <f t="shared" si="2"/>
        <v>N</v>
      </c>
      <c r="S32" s="50"/>
      <c r="T32" s="73"/>
      <c r="U32" s="73"/>
      <c r="V32" s="73"/>
      <c r="W32" s="73"/>
      <c r="X32" s="73"/>
      <c r="Y32" s="73"/>
    </row>
    <row r="33" spans="2:25" ht="12" customHeight="1" x14ac:dyDescent="0.25">
      <c r="B33" s="63" t="s">
        <v>437</v>
      </c>
      <c r="C33" s="292">
        <v>0</v>
      </c>
      <c r="D33" s="292">
        <v>25405710</v>
      </c>
      <c r="E33" s="64" t="str">
        <f>+IF(ABS($C33)&gt;='1. 중요성 기준'!$G$62,"Y","N")</f>
        <v>N</v>
      </c>
      <c r="F33" s="67" t="s">
        <v>49</v>
      </c>
      <c r="G33" s="67" t="s">
        <v>49</v>
      </c>
      <c r="H33" s="67" t="s">
        <v>49</v>
      </c>
      <c r="I33" s="67" t="s">
        <v>49</v>
      </c>
      <c r="J33" s="67" t="s">
        <v>49</v>
      </c>
      <c r="K33" s="67" t="s">
        <v>49</v>
      </c>
      <c r="L33" s="67" t="s">
        <v>55</v>
      </c>
      <c r="M33" s="67" t="s">
        <v>49</v>
      </c>
      <c r="N33" s="67" t="s">
        <v>49</v>
      </c>
      <c r="O33" s="67" t="s">
        <v>49</v>
      </c>
      <c r="P33" s="68" t="str">
        <f t="shared" si="1"/>
        <v>N</v>
      </c>
      <c r="Q33" s="217" t="s">
        <v>213</v>
      </c>
      <c r="R33" s="68" t="str">
        <f t="shared" si="2"/>
        <v>N</v>
      </c>
      <c r="S33" s="50"/>
      <c r="T33" s="73"/>
      <c r="U33" s="73"/>
      <c r="V33" s="73"/>
      <c r="W33" s="73"/>
      <c r="X33" s="73"/>
      <c r="Y33" s="73"/>
    </row>
    <row r="34" spans="2:25" ht="12" customHeight="1" x14ac:dyDescent="0.25">
      <c r="B34" s="63" t="s">
        <v>438</v>
      </c>
      <c r="C34" s="292">
        <v>88689848</v>
      </c>
      <c r="D34" s="292">
        <v>56661909</v>
      </c>
      <c r="E34" s="64" t="str">
        <f>+IF(ABS($C34)&gt;='1. 중요성 기준'!$G$62,"Y","N")</f>
        <v>N</v>
      </c>
      <c r="F34" s="67" t="s">
        <v>49</v>
      </c>
      <c r="G34" s="67" t="s">
        <v>49</v>
      </c>
      <c r="H34" s="67" t="s">
        <v>49</v>
      </c>
      <c r="I34" s="67" t="s">
        <v>49</v>
      </c>
      <c r="J34" s="67" t="s">
        <v>49</v>
      </c>
      <c r="K34" s="67" t="s">
        <v>49</v>
      </c>
      <c r="L34" s="67" t="s">
        <v>55</v>
      </c>
      <c r="M34" s="67" t="s">
        <v>49</v>
      </c>
      <c r="N34" s="67" t="s">
        <v>49</v>
      </c>
      <c r="O34" s="67" t="s">
        <v>49</v>
      </c>
      <c r="P34" s="68" t="str">
        <f t="shared" si="1"/>
        <v>N</v>
      </c>
      <c r="Q34" s="217" t="s">
        <v>213</v>
      </c>
      <c r="R34" s="68" t="str">
        <f t="shared" si="2"/>
        <v>N</v>
      </c>
      <c r="S34" s="50"/>
      <c r="T34" s="73"/>
      <c r="U34" s="73"/>
      <c r="V34" s="73"/>
      <c r="W34" s="73"/>
      <c r="X34" s="73"/>
      <c r="Y34" s="73"/>
    </row>
    <row r="35" spans="2:25" ht="12" customHeight="1" x14ac:dyDescent="0.25">
      <c r="B35" s="63" t="s">
        <v>439</v>
      </c>
      <c r="C35" s="292">
        <v>155299232</v>
      </c>
      <c r="D35" s="292">
        <v>61944959</v>
      </c>
      <c r="E35" s="64" t="str">
        <f>+IF(ABS($C35)&gt;='1. 중요성 기준'!$G$62,"Y","N")</f>
        <v>N</v>
      </c>
      <c r="F35" s="67" t="s">
        <v>50</v>
      </c>
      <c r="G35" s="67" t="s">
        <v>55</v>
      </c>
      <c r="H35" s="67" t="s">
        <v>50</v>
      </c>
      <c r="I35" s="67" t="s">
        <v>49</v>
      </c>
      <c r="J35" s="67" t="s">
        <v>49</v>
      </c>
      <c r="K35" s="67" t="s">
        <v>55</v>
      </c>
      <c r="L35" s="67" t="s">
        <v>55</v>
      </c>
      <c r="M35" s="67" t="s">
        <v>55</v>
      </c>
      <c r="N35" s="67" t="s">
        <v>50</v>
      </c>
      <c r="O35" s="67" t="s">
        <v>49</v>
      </c>
      <c r="P35" s="68" t="str">
        <f t="shared" si="1"/>
        <v>Y</v>
      </c>
      <c r="Q35" s="217" t="s">
        <v>477</v>
      </c>
      <c r="R35" s="68" t="str">
        <f t="shared" si="2"/>
        <v>Y</v>
      </c>
      <c r="S35" s="50"/>
      <c r="T35" s="73"/>
      <c r="U35" s="73"/>
      <c r="V35" s="73"/>
      <c r="W35" s="357" t="s">
        <v>843</v>
      </c>
      <c r="X35" s="73"/>
      <c r="Y35" s="73" t="s">
        <v>72</v>
      </c>
    </row>
    <row r="36" spans="2:25" ht="12" customHeight="1" x14ac:dyDescent="0.25">
      <c r="B36" s="63" t="s">
        <v>440</v>
      </c>
      <c r="C36" s="292">
        <v>4880184</v>
      </c>
      <c r="D36" s="292">
        <v>4880184</v>
      </c>
      <c r="E36" s="64" t="str">
        <f>+IF(ABS($C36)&gt;='1. 중요성 기준'!$G$62,"Y","N")</f>
        <v>N</v>
      </c>
      <c r="F36" s="67" t="s">
        <v>50</v>
      </c>
      <c r="G36" s="67" t="s">
        <v>55</v>
      </c>
      <c r="H36" s="67" t="s">
        <v>50</v>
      </c>
      <c r="I36" s="67" t="s">
        <v>49</v>
      </c>
      <c r="J36" s="67" t="s">
        <v>49</v>
      </c>
      <c r="K36" s="67" t="s">
        <v>55</v>
      </c>
      <c r="L36" s="67" t="s">
        <v>55</v>
      </c>
      <c r="M36" s="67" t="s">
        <v>55</v>
      </c>
      <c r="N36" s="67" t="s">
        <v>50</v>
      </c>
      <c r="O36" s="67" t="s">
        <v>49</v>
      </c>
      <c r="P36" s="68" t="str">
        <f t="shared" si="1"/>
        <v>Y</v>
      </c>
      <c r="Q36" s="217" t="s">
        <v>477</v>
      </c>
      <c r="R36" s="68" t="str">
        <f t="shared" si="2"/>
        <v>Y</v>
      </c>
      <c r="S36" s="50"/>
      <c r="T36" s="73"/>
      <c r="U36" s="73"/>
      <c r="V36" s="73"/>
      <c r="W36" s="357" t="s">
        <v>843</v>
      </c>
      <c r="X36" s="73"/>
      <c r="Y36" s="73" t="s">
        <v>72</v>
      </c>
    </row>
    <row r="37" spans="2:25" ht="12" customHeight="1" x14ac:dyDescent="0.25">
      <c r="B37" s="63" t="s">
        <v>441</v>
      </c>
      <c r="C37" s="292">
        <v>4795132</v>
      </c>
      <c r="D37" s="292">
        <v>4911317</v>
      </c>
      <c r="E37" s="64" t="str">
        <f>+IF(ABS($C37)&gt;='1. 중요성 기준'!$G$62,"Y","N")</f>
        <v>N</v>
      </c>
      <c r="F37" s="67" t="s">
        <v>49</v>
      </c>
      <c r="G37" s="67" t="s">
        <v>49</v>
      </c>
      <c r="H37" s="67" t="s">
        <v>49</v>
      </c>
      <c r="I37" s="67" t="s">
        <v>49</v>
      </c>
      <c r="J37" s="67" t="s">
        <v>49</v>
      </c>
      <c r="K37" s="67" t="s">
        <v>49</v>
      </c>
      <c r="L37" s="67" t="s">
        <v>49</v>
      </c>
      <c r="M37" s="67" t="s">
        <v>49</v>
      </c>
      <c r="N37" s="67" t="s">
        <v>49</v>
      </c>
      <c r="O37" s="67" t="s">
        <v>49</v>
      </c>
      <c r="P37" s="68" t="str">
        <f t="shared" si="1"/>
        <v>N</v>
      </c>
      <c r="Q37" s="217" t="s">
        <v>213</v>
      </c>
      <c r="R37" s="68" t="str">
        <f t="shared" si="2"/>
        <v>N</v>
      </c>
      <c r="S37" s="50"/>
      <c r="T37" s="73"/>
      <c r="U37" s="73"/>
      <c r="V37" s="73"/>
      <c r="W37" s="73"/>
      <c r="X37" s="73"/>
      <c r="Y37" s="73"/>
    </row>
    <row r="38" spans="2:25" ht="12" customHeight="1" x14ac:dyDescent="0.25">
      <c r="B38" s="63" t="s">
        <v>442</v>
      </c>
      <c r="C38" s="292">
        <v>2069968</v>
      </c>
      <c r="D38" s="292">
        <v>1066303</v>
      </c>
      <c r="E38" s="64" t="str">
        <f>+IF(ABS($C38)&gt;='1. 중요성 기준'!$G$62,"Y","N")</f>
        <v>N</v>
      </c>
      <c r="F38" s="67" t="s">
        <v>49</v>
      </c>
      <c r="G38" s="67" t="s">
        <v>49</v>
      </c>
      <c r="H38" s="67" t="s">
        <v>49</v>
      </c>
      <c r="I38" s="67" t="s">
        <v>49</v>
      </c>
      <c r="J38" s="67" t="s">
        <v>49</v>
      </c>
      <c r="K38" s="67" t="s">
        <v>49</v>
      </c>
      <c r="L38" s="67" t="s">
        <v>49</v>
      </c>
      <c r="M38" s="67" t="s">
        <v>49</v>
      </c>
      <c r="N38" s="67" t="s">
        <v>49</v>
      </c>
      <c r="O38" s="67" t="s">
        <v>49</v>
      </c>
      <c r="P38" s="68" t="str">
        <f t="shared" si="1"/>
        <v>N</v>
      </c>
      <c r="Q38" s="217" t="s">
        <v>213</v>
      </c>
      <c r="R38" s="68" t="str">
        <f t="shared" si="2"/>
        <v>N</v>
      </c>
      <c r="S38" s="50"/>
      <c r="T38" s="73"/>
      <c r="U38" s="73"/>
      <c r="V38" s="73"/>
      <c r="W38" s="73"/>
      <c r="X38" s="73"/>
      <c r="Y38" s="73"/>
    </row>
    <row r="39" spans="2:25" ht="12" customHeight="1" x14ac:dyDescent="0.25">
      <c r="B39" s="63" t="s">
        <v>443</v>
      </c>
      <c r="C39" s="292">
        <v>2734021</v>
      </c>
      <c r="D39" s="292">
        <v>4229200</v>
      </c>
      <c r="E39" s="64" t="str">
        <f>+IF(ABS($C39)&gt;='1. 중요성 기준'!$G$62,"Y","N")</f>
        <v>N</v>
      </c>
      <c r="F39" s="67" t="s">
        <v>49</v>
      </c>
      <c r="G39" s="67" t="s">
        <v>49</v>
      </c>
      <c r="H39" s="67" t="s">
        <v>49</v>
      </c>
      <c r="I39" s="67" t="s">
        <v>49</v>
      </c>
      <c r="J39" s="67" t="s">
        <v>49</v>
      </c>
      <c r="K39" s="67" t="s">
        <v>49</v>
      </c>
      <c r="L39" s="67" t="s">
        <v>49</v>
      </c>
      <c r="M39" s="67" t="s">
        <v>49</v>
      </c>
      <c r="N39" s="67" t="s">
        <v>49</v>
      </c>
      <c r="O39" s="67" t="s">
        <v>49</v>
      </c>
      <c r="P39" s="68" t="str">
        <f t="shared" si="1"/>
        <v>N</v>
      </c>
      <c r="Q39" s="217" t="s">
        <v>213</v>
      </c>
      <c r="R39" s="68" t="str">
        <f t="shared" si="2"/>
        <v>N</v>
      </c>
      <c r="S39" s="50"/>
      <c r="T39" s="73"/>
      <c r="U39" s="73"/>
      <c r="V39" s="73"/>
      <c r="W39" s="73"/>
      <c r="X39" s="73"/>
      <c r="Y39" s="73"/>
    </row>
    <row r="40" spans="2:25" ht="12" customHeight="1" x14ac:dyDescent="0.25">
      <c r="B40" s="63" t="s">
        <v>444</v>
      </c>
      <c r="C40" s="292">
        <v>3350063105</v>
      </c>
      <c r="D40" s="292">
        <v>2451659217</v>
      </c>
      <c r="E40" s="64" t="str">
        <f>+IF(ABS($C40)&gt;='1. 중요성 기준'!$G$62,"Y","N")</f>
        <v>Y</v>
      </c>
      <c r="F40" s="67" t="s">
        <v>49</v>
      </c>
      <c r="G40" s="67" t="s">
        <v>49</v>
      </c>
      <c r="H40" s="67" t="s">
        <v>49</v>
      </c>
      <c r="I40" s="67" t="s">
        <v>49</v>
      </c>
      <c r="J40" s="67" t="s">
        <v>49</v>
      </c>
      <c r="K40" s="67" t="s">
        <v>49</v>
      </c>
      <c r="L40" s="67" t="s">
        <v>49</v>
      </c>
      <c r="M40" s="67" t="s">
        <v>49</v>
      </c>
      <c r="N40" s="67" t="s">
        <v>49</v>
      </c>
      <c r="O40" s="67" t="s">
        <v>49</v>
      </c>
      <c r="P40" s="68" t="str">
        <f t="shared" si="1"/>
        <v>N</v>
      </c>
      <c r="Q40" s="217" t="s">
        <v>213</v>
      </c>
      <c r="R40" s="68" t="str">
        <f t="shared" si="2"/>
        <v>Y</v>
      </c>
      <c r="S40" s="50"/>
      <c r="T40" s="73"/>
      <c r="U40" s="73" t="s">
        <v>72</v>
      </c>
      <c r="V40" s="73"/>
      <c r="W40" s="357" t="s">
        <v>843</v>
      </c>
      <c r="X40" s="73" t="s">
        <v>72</v>
      </c>
      <c r="Y40" s="73"/>
    </row>
    <row r="41" spans="2:25" ht="12" customHeight="1" x14ac:dyDescent="0.25">
      <c r="B41" s="63" t="s">
        <v>445</v>
      </c>
      <c r="C41" s="292">
        <v>97500</v>
      </c>
      <c r="D41" s="292">
        <v>377300</v>
      </c>
      <c r="E41" s="64" t="str">
        <f>+IF(ABS($C41)&gt;='1. 중요성 기준'!$G$62,"Y","N")</f>
        <v>N</v>
      </c>
      <c r="F41" s="67" t="s">
        <v>49</v>
      </c>
      <c r="G41" s="67" t="s">
        <v>49</v>
      </c>
      <c r="H41" s="67" t="s">
        <v>49</v>
      </c>
      <c r="I41" s="67" t="s">
        <v>49</v>
      </c>
      <c r="J41" s="67" t="s">
        <v>49</v>
      </c>
      <c r="K41" s="67" t="s">
        <v>49</v>
      </c>
      <c r="L41" s="67" t="s">
        <v>49</v>
      </c>
      <c r="M41" s="67" t="s">
        <v>49</v>
      </c>
      <c r="N41" s="67" t="s">
        <v>49</v>
      </c>
      <c r="O41" s="67" t="s">
        <v>49</v>
      </c>
      <c r="P41" s="68" t="str">
        <f t="shared" si="1"/>
        <v>N</v>
      </c>
      <c r="Q41" s="217" t="s">
        <v>213</v>
      </c>
      <c r="R41" s="68" t="str">
        <f t="shared" si="2"/>
        <v>N</v>
      </c>
      <c r="S41" s="50"/>
      <c r="T41" s="73"/>
      <c r="U41" s="73"/>
      <c r="V41" s="73"/>
      <c r="W41" s="73"/>
      <c r="X41" s="73"/>
      <c r="Y41" s="73"/>
    </row>
    <row r="42" spans="2:25" ht="12" customHeight="1" x14ac:dyDescent="0.25">
      <c r="B42" s="63" t="s">
        <v>446</v>
      </c>
      <c r="C42" s="292">
        <v>3470850</v>
      </c>
      <c r="D42" s="292">
        <v>2578655</v>
      </c>
      <c r="E42" s="64" t="str">
        <f>+IF(ABS($C42)&gt;='1. 중요성 기준'!$G$62,"Y","N")</f>
        <v>N</v>
      </c>
      <c r="F42" s="67" t="s">
        <v>49</v>
      </c>
      <c r="G42" s="67" t="s">
        <v>49</v>
      </c>
      <c r="H42" s="67" t="s">
        <v>49</v>
      </c>
      <c r="I42" s="67" t="s">
        <v>49</v>
      </c>
      <c r="J42" s="67" t="s">
        <v>49</v>
      </c>
      <c r="K42" s="67" t="s">
        <v>49</v>
      </c>
      <c r="L42" s="67" t="s">
        <v>49</v>
      </c>
      <c r="M42" s="67" t="s">
        <v>49</v>
      </c>
      <c r="N42" s="67" t="s">
        <v>49</v>
      </c>
      <c r="O42" s="67" t="s">
        <v>49</v>
      </c>
      <c r="P42" s="68" t="str">
        <f t="shared" si="1"/>
        <v>N</v>
      </c>
      <c r="Q42" s="217" t="s">
        <v>213</v>
      </c>
      <c r="R42" s="68" t="str">
        <f t="shared" si="2"/>
        <v>N</v>
      </c>
      <c r="S42" s="50"/>
      <c r="T42" s="73"/>
      <c r="U42" s="73"/>
      <c r="V42" s="73"/>
      <c r="W42" s="73"/>
      <c r="X42" s="73"/>
      <c r="Y42" s="73"/>
    </row>
    <row r="43" spans="2:25" ht="12" customHeight="1" x14ac:dyDescent="0.25">
      <c r="B43" s="63" t="s">
        <v>447</v>
      </c>
      <c r="C43" s="292">
        <v>3464861</v>
      </c>
      <c r="D43" s="292">
        <v>4296760</v>
      </c>
      <c r="E43" s="64" t="str">
        <f>+IF(ABS($C43)&gt;='1. 중요성 기준'!$G$62,"Y","N")</f>
        <v>N</v>
      </c>
      <c r="F43" s="67" t="s">
        <v>49</v>
      </c>
      <c r="G43" s="67" t="s">
        <v>49</v>
      </c>
      <c r="H43" s="67" t="s">
        <v>49</v>
      </c>
      <c r="I43" s="67" t="s">
        <v>49</v>
      </c>
      <c r="J43" s="67" t="s">
        <v>49</v>
      </c>
      <c r="K43" s="67" t="s">
        <v>49</v>
      </c>
      <c r="L43" s="67" t="s">
        <v>49</v>
      </c>
      <c r="M43" s="67" t="s">
        <v>49</v>
      </c>
      <c r="N43" s="67" t="s">
        <v>49</v>
      </c>
      <c r="O43" s="67" t="s">
        <v>49</v>
      </c>
      <c r="P43" s="68" t="str">
        <f t="shared" si="1"/>
        <v>N</v>
      </c>
      <c r="Q43" s="217" t="s">
        <v>213</v>
      </c>
      <c r="R43" s="68" t="str">
        <f t="shared" si="2"/>
        <v>N</v>
      </c>
      <c r="S43" s="50"/>
      <c r="T43" s="73"/>
      <c r="U43" s="73"/>
      <c r="V43" s="73"/>
      <c r="W43" s="73"/>
      <c r="X43" s="73"/>
      <c r="Y43" s="73"/>
    </row>
    <row r="44" spans="2:25" ht="12" customHeight="1" x14ac:dyDescent="0.25">
      <c r="B44" s="63" t="s">
        <v>448</v>
      </c>
      <c r="C44" s="292">
        <v>26417581</v>
      </c>
      <c r="D44" s="292">
        <v>49977920</v>
      </c>
      <c r="E44" s="64" t="str">
        <f>+IF(ABS($C44)&gt;='1. 중요성 기준'!$G$62,"Y","N")</f>
        <v>N</v>
      </c>
      <c r="F44" s="67" t="s">
        <v>49</v>
      </c>
      <c r="G44" s="67" t="s">
        <v>49</v>
      </c>
      <c r="H44" s="67" t="s">
        <v>49</v>
      </c>
      <c r="I44" s="67" t="s">
        <v>49</v>
      </c>
      <c r="J44" s="67" t="s">
        <v>49</v>
      </c>
      <c r="K44" s="67" t="s">
        <v>49</v>
      </c>
      <c r="L44" s="67" t="s">
        <v>49</v>
      </c>
      <c r="M44" s="67" t="s">
        <v>49</v>
      </c>
      <c r="N44" s="67" t="s">
        <v>49</v>
      </c>
      <c r="O44" s="67" t="s">
        <v>49</v>
      </c>
      <c r="P44" s="68" t="str">
        <f t="shared" si="1"/>
        <v>N</v>
      </c>
      <c r="Q44" s="217" t="s">
        <v>213</v>
      </c>
      <c r="R44" s="68" t="str">
        <f t="shared" si="2"/>
        <v>N</v>
      </c>
      <c r="S44" s="50"/>
      <c r="T44" s="73"/>
      <c r="U44" s="73"/>
      <c r="V44" s="73"/>
      <c r="W44" s="73"/>
      <c r="X44" s="73"/>
      <c r="Y44" s="73"/>
    </row>
    <row r="45" spans="2:25" ht="12" customHeight="1" x14ac:dyDescent="0.25">
      <c r="B45" s="63" t="s">
        <v>449</v>
      </c>
      <c r="C45" s="292">
        <v>218875832</v>
      </c>
      <c r="D45" s="292">
        <v>125164842</v>
      </c>
      <c r="E45" s="64" t="str">
        <f>+IF(ABS($C45)&gt;='1. 중요성 기준'!$G$62,"Y","N")</f>
        <v>Y</v>
      </c>
      <c r="F45" s="67" t="s">
        <v>49</v>
      </c>
      <c r="G45" s="67" t="s">
        <v>49</v>
      </c>
      <c r="H45" s="67" t="s">
        <v>49</v>
      </c>
      <c r="I45" s="67" t="s">
        <v>49</v>
      </c>
      <c r="J45" s="67" t="s">
        <v>49</v>
      </c>
      <c r="K45" s="67" t="s">
        <v>49</v>
      </c>
      <c r="L45" s="67" t="s">
        <v>49</v>
      </c>
      <c r="M45" s="67" t="s">
        <v>49</v>
      </c>
      <c r="N45" s="67" t="s">
        <v>49</v>
      </c>
      <c r="O45" s="67" t="s">
        <v>49</v>
      </c>
      <c r="P45" s="68" t="str">
        <f t="shared" si="1"/>
        <v>N</v>
      </c>
      <c r="Q45" s="217"/>
      <c r="R45" s="68" t="str">
        <f t="shared" si="2"/>
        <v>Y</v>
      </c>
      <c r="S45" s="50"/>
      <c r="T45" s="73"/>
      <c r="U45" s="73" t="s">
        <v>72</v>
      </c>
      <c r="V45" s="73"/>
      <c r="W45" s="357" t="s">
        <v>843</v>
      </c>
      <c r="X45" s="73"/>
      <c r="Y45" s="73"/>
    </row>
    <row r="46" spans="2:25" ht="12" customHeight="1" x14ac:dyDescent="0.25">
      <c r="B46" s="63" t="s">
        <v>450</v>
      </c>
      <c r="C46" s="292">
        <v>82943415</v>
      </c>
      <c r="D46" s="292">
        <v>67157201</v>
      </c>
      <c r="E46" s="64" t="str">
        <f>+IF(ABS($C46)&gt;='1. 중요성 기준'!$G$62,"Y","N")</f>
        <v>N</v>
      </c>
      <c r="F46" s="67" t="s">
        <v>49</v>
      </c>
      <c r="G46" s="67" t="s">
        <v>49</v>
      </c>
      <c r="H46" s="67" t="s">
        <v>49</v>
      </c>
      <c r="I46" s="67" t="s">
        <v>49</v>
      </c>
      <c r="J46" s="67" t="s">
        <v>49</v>
      </c>
      <c r="K46" s="67" t="s">
        <v>49</v>
      </c>
      <c r="L46" s="67" t="s">
        <v>49</v>
      </c>
      <c r="M46" s="67" t="s">
        <v>49</v>
      </c>
      <c r="N46" s="67" t="s">
        <v>49</v>
      </c>
      <c r="O46" s="67" t="s">
        <v>49</v>
      </c>
      <c r="P46" s="68" t="str">
        <f t="shared" si="1"/>
        <v>N</v>
      </c>
      <c r="Q46" s="217" t="s">
        <v>213</v>
      </c>
      <c r="R46" s="68" t="str">
        <f t="shared" si="2"/>
        <v>N</v>
      </c>
      <c r="S46" s="50"/>
      <c r="T46" s="73"/>
      <c r="U46" s="73"/>
      <c r="V46" s="73"/>
      <c r="W46" s="73"/>
      <c r="X46" s="73"/>
      <c r="Y46" s="73"/>
    </row>
    <row r="47" spans="2:25" ht="12" customHeight="1" x14ac:dyDescent="0.25">
      <c r="B47" s="63" t="s">
        <v>451</v>
      </c>
      <c r="C47" s="292">
        <v>892858900</v>
      </c>
      <c r="D47" s="292">
        <v>724330000</v>
      </c>
      <c r="E47" s="64" t="str">
        <f>+IF(ABS($C47)&gt;='1. 중요성 기준'!$G$62,"Y","N")</f>
        <v>Y</v>
      </c>
      <c r="F47" s="67" t="s">
        <v>49</v>
      </c>
      <c r="G47" s="67" t="s">
        <v>49</v>
      </c>
      <c r="H47" s="67" t="s">
        <v>49</v>
      </c>
      <c r="I47" s="67" t="s">
        <v>49</v>
      </c>
      <c r="J47" s="67" t="s">
        <v>49</v>
      </c>
      <c r="K47" s="67" t="s">
        <v>49</v>
      </c>
      <c r="L47" s="67" t="s">
        <v>49</v>
      </c>
      <c r="M47" s="67" t="s">
        <v>49</v>
      </c>
      <c r="N47" s="67" t="s">
        <v>49</v>
      </c>
      <c r="O47" s="67" t="s">
        <v>49</v>
      </c>
      <c r="P47" s="68" t="str">
        <f t="shared" si="1"/>
        <v>N</v>
      </c>
      <c r="Q47" s="217"/>
      <c r="R47" s="68" t="str">
        <f t="shared" si="2"/>
        <v>Y</v>
      </c>
      <c r="S47" s="50"/>
      <c r="T47" s="73"/>
      <c r="U47" s="73" t="s">
        <v>72</v>
      </c>
      <c r="V47" s="73"/>
      <c r="W47" s="357" t="s">
        <v>843</v>
      </c>
      <c r="X47" s="73"/>
      <c r="Y47" s="73"/>
    </row>
    <row r="48" spans="2:25" ht="12" customHeight="1" x14ac:dyDescent="0.25">
      <c r="B48" s="63" t="s">
        <v>452</v>
      </c>
      <c r="C48" s="292">
        <v>-68638747</v>
      </c>
      <c r="D48" s="292">
        <v>26252791</v>
      </c>
      <c r="E48" s="64" t="str">
        <f>+IF(ABS($C48)&gt;='1. 중요성 기준'!$G$62,"Y","N")</f>
        <v>N</v>
      </c>
      <c r="F48" s="67" t="s">
        <v>49</v>
      </c>
      <c r="G48" s="67" t="s">
        <v>49</v>
      </c>
      <c r="H48" s="67" t="s">
        <v>49</v>
      </c>
      <c r="I48" s="67" t="s">
        <v>49</v>
      </c>
      <c r="J48" s="67" t="s">
        <v>49</v>
      </c>
      <c r="K48" s="67" t="s">
        <v>49</v>
      </c>
      <c r="L48" s="67" t="s">
        <v>49</v>
      </c>
      <c r="M48" s="67" t="s">
        <v>49</v>
      </c>
      <c r="N48" s="67" t="s">
        <v>49</v>
      </c>
      <c r="O48" s="67" t="s">
        <v>49</v>
      </c>
      <c r="P48" s="68" t="str">
        <f t="shared" si="1"/>
        <v>N</v>
      </c>
      <c r="Q48" s="217" t="s">
        <v>213</v>
      </c>
      <c r="R48" s="68" t="str">
        <f t="shared" si="2"/>
        <v>N</v>
      </c>
      <c r="S48" s="50"/>
      <c r="T48" s="73"/>
      <c r="U48" s="73"/>
      <c r="V48" s="73"/>
      <c r="W48" s="73"/>
      <c r="X48" s="73"/>
      <c r="Y48" s="73"/>
    </row>
    <row r="49" spans="2:25" ht="12" customHeight="1" x14ac:dyDescent="0.25">
      <c r="B49" s="60" t="s">
        <v>422</v>
      </c>
      <c r="C49" s="330">
        <f>C18-C22</f>
        <v>4854442905</v>
      </c>
      <c r="D49" s="330">
        <f>D18-D22</f>
        <v>3707096019</v>
      </c>
      <c r="E49" s="65"/>
      <c r="F49" s="69"/>
      <c r="G49" s="69"/>
      <c r="H49" s="69"/>
      <c r="I49" s="69"/>
      <c r="J49" s="69"/>
      <c r="K49" s="69"/>
      <c r="L49" s="69"/>
      <c r="M49" s="69"/>
      <c r="N49" s="69"/>
      <c r="O49" s="69"/>
      <c r="P49" s="65"/>
      <c r="Q49" s="217"/>
      <c r="R49" s="65"/>
      <c r="S49" s="50"/>
      <c r="T49" s="73"/>
      <c r="U49" s="73"/>
      <c r="V49" s="73"/>
      <c r="W49" s="73"/>
      <c r="X49" s="73"/>
      <c r="Y49" s="73"/>
    </row>
    <row r="50" spans="2:25" ht="12" customHeight="1" x14ac:dyDescent="0.25">
      <c r="B50" s="60" t="s">
        <v>423</v>
      </c>
      <c r="C50" s="295">
        <f>SUM(C51:C59)</f>
        <v>384775990</v>
      </c>
      <c r="D50" s="295">
        <f>SUM(D51:D59)</f>
        <v>301833760</v>
      </c>
      <c r="E50" s="65"/>
      <c r="F50" s="69"/>
      <c r="G50" s="69"/>
      <c r="H50" s="69"/>
      <c r="I50" s="69"/>
      <c r="J50" s="69"/>
      <c r="K50" s="69"/>
      <c r="L50" s="69"/>
      <c r="M50" s="69"/>
      <c r="N50" s="69"/>
      <c r="O50" s="69"/>
      <c r="P50" s="65"/>
      <c r="Q50" s="217"/>
      <c r="R50" s="65"/>
      <c r="S50" s="50"/>
      <c r="T50" s="73"/>
      <c r="U50" s="73"/>
      <c r="V50" s="73"/>
      <c r="W50" s="73"/>
      <c r="X50" s="73"/>
      <c r="Y50" s="73"/>
    </row>
    <row r="51" spans="2:25" ht="12" customHeight="1" x14ac:dyDescent="0.25">
      <c r="B51" s="63" t="s">
        <v>453</v>
      </c>
      <c r="C51" s="292">
        <v>283791169</v>
      </c>
      <c r="D51" s="292">
        <v>75560395</v>
      </c>
      <c r="E51" s="64" t="str">
        <f>+IF(ABS($C51)&gt;='1. 중요성 기준'!$G$62,"Y","N")</f>
        <v>Y</v>
      </c>
      <c r="F51" s="67" t="s">
        <v>49</v>
      </c>
      <c r="G51" s="67" t="s">
        <v>49</v>
      </c>
      <c r="H51" s="67" t="s">
        <v>49</v>
      </c>
      <c r="I51" s="67" t="s">
        <v>49</v>
      </c>
      <c r="J51" s="67" t="s">
        <v>50</v>
      </c>
      <c r="K51" s="67" t="s">
        <v>49</v>
      </c>
      <c r="L51" s="67" t="s">
        <v>49</v>
      </c>
      <c r="M51" s="67" t="s">
        <v>49</v>
      </c>
      <c r="N51" s="67" t="s">
        <v>49</v>
      </c>
      <c r="O51" s="67" t="s">
        <v>49</v>
      </c>
      <c r="P51" s="68" t="str">
        <f t="shared" ref="P51:P55" si="3">IF(SUM(COUNTIF($F51:$O51,"High")*$C$12+COUNTIF($F51:$O51,"Medium")*$C$13+COUNTIF($F51:$O51,"Low")*$C$14)/10&gt;=2,"Y","N")</f>
        <v>N</v>
      </c>
      <c r="Q51" s="217"/>
      <c r="R51" s="68" t="str">
        <f t="shared" ref="R51:R66" si="4">IF(COUNTIF($E51:$P51,"Y")&gt;0,"Y","N")</f>
        <v>Y</v>
      </c>
      <c r="S51" s="50"/>
      <c r="T51" s="73"/>
      <c r="U51" s="73"/>
      <c r="V51" s="73" t="s">
        <v>72</v>
      </c>
      <c r="W51" s="357" t="s">
        <v>843</v>
      </c>
      <c r="X51" s="73"/>
      <c r="Y51" s="73"/>
    </row>
    <row r="52" spans="2:25" ht="12" customHeight="1" x14ac:dyDescent="0.25">
      <c r="B52" s="63" t="s">
        <v>454</v>
      </c>
      <c r="C52" s="292">
        <v>13925333</v>
      </c>
      <c r="D52" s="292">
        <v>0</v>
      </c>
      <c r="E52" s="64" t="str">
        <f>+IF(ABS($C52)&gt;='1. 중요성 기준'!$G$62,"Y","N")</f>
        <v>N</v>
      </c>
      <c r="F52" s="67" t="s">
        <v>49</v>
      </c>
      <c r="G52" s="67" t="s">
        <v>49</v>
      </c>
      <c r="H52" s="67" t="s">
        <v>49</v>
      </c>
      <c r="I52" s="67" t="s">
        <v>49</v>
      </c>
      <c r="J52" s="67" t="s">
        <v>49</v>
      </c>
      <c r="K52" s="67" t="s">
        <v>49</v>
      </c>
      <c r="L52" s="67" t="s">
        <v>49</v>
      </c>
      <c r="M52" s="67" t="s">
        <v>49</v>
      </c>
      <c r="N52" s="67" t="s">
        <v>49</v>
      </c>
      <c r="O52" s="67" t="s">
        <v>49</v>
      </c>
      <c r="P52" s="68" t="str">
        <f t="shared" si="3"/>
        <v>N</v>
      </c>
      <c r="Q52" s="217" t="s">
        <v>213</v>
      </c>
      <c r="R52" s="68" t="str">
        <f t="shared" si="4"/>
        <v>N</v>
      </c>
      <c r="S52" s="50"/>
      <c r="T52" s="73"/>
      <c r="U52" s="73"/>
      <c r="V52" s="73"/>
      <c r="W52" s="73"/>
      <c r="X52" s="73"/>
      <c r="Y52" s="73"/>
    </row>
    <row r="53" spans="2:25" ht="12" customHeight="1" x14ac:dyDescent="0.25">
      <c r="B53" s="63" t="s">
        <v>455</v>
      </c>
      <c r="C53" s="292">
        <v>6531110</v>
      </c>
      <c r="D53" s="292">
        <v>54452389</v>
      </c>
      <c r="E53" s="64" t="str">
        <f>+IF(ABS($C53)&gt;='1. 중요성 기준'!$G$62,"Y","N")</f>
        <v>N</v>
      </c>
      <c r="F53" s="67" t="s">
        <v>49</v>
      </c>
      <c r="G53" s="67" t="s">
        <v>49</v>
      </c>
      <c r="H53" s="67" t="s">
        <v>49</v>
      </c>
      <c r="I53" s="67" t="s">
        <v>49</v>
      </c>
      <c r="J53" s="67" t="s">
        <v>49</v>
      </c>
      <c r="K53" s="67" t="s">
        <v>49</v>
      </c>
      <c r="L53" s="67" t="s">
        <v>49</v>
      </c>
      <c r="M53" s="67" t="s">
        <v>49</v>
      </c>
      <c r="N53" s="67" t="s">
        <v>49</v>
      </c>
      <c r="O53" s="67" t="s">
        <v>49</v>
      </c>
      <c r="P53" s="68" t="str">
        <f t="shared" si="3"/>
        <v>N</v>
      </c>
      <c r="Q53" s="217" t="s">
        <v>213</v>
      </c>
      <c r="R53" s="68" t="str">
        <f t="shared" si="4"/>
        <v>N</v>
      </c>
      <c r="S53" s="50"/>
      <c r="T53" s="73"/>
      <c r="U53" s="73"/>
      <c r="V53" s="73"/>
      <c r="W53" s="73"/>
      <c r="X53" s="73"/>
      <c r="Y53" s="73"/>
    </row>
    <row r="54" spans="2:25" ht="12" customHeight="1" x14ac:dyDescent="0.25">
      <c r="B54" s="63" t="s">
        <v>456</v>
      </c>
      <c r="C54" s="292">
        <v>41086178</v>
      </c>
      <c r="D54" s="292">
        <v>116349579</v>
      </c>
      <c r="E54" s="64" t="str">
        <f>+IF(ABS($C54)&gt;='1. 중요성 기준'!$G$62,"Y","N")</f>
        <v>N</v>
      </c>
      <c r="F54" s="67" t="s">
        <v>50</v>
      </c>
      <c r="G54" s="67" t="s">
        <v>50</v>
      </c>
      <c r="H54" s="67" t="s">
        <v>50</v>
      </c>
      <c r="I54" s="67" t="s">
        <v>49</v>
      </c>
      <c r="J54" s="67" t="s">
        <v>49</v>
      </c>
      <c r="K54" s="67" t="s">
        <v>50</v>
      </c>
      <c r="L54" s="67" t="s">
        <v>55</v>
      </c>
      <c r="M54" s="67" t="s">
        <v>49</v>
      </c>
      <c r="N54" s="67" t="s">
        <v>50</v>
      </c>
      <c r="O54" s="67" t="s">
        <v>49</v>
      </c>
      <c r="P54" s="68" t="str">
        <f t="shared" si="3"/>
        <v>Y</v>
      </c>
      <c r="Q54" s="217" t="s">
        <v>476</v>
      </c>
      <c r="R54" s="68" t="str">
        <f t="shared" si="4"/>
        <v>Y</v>
      </c>
      <c r="S54" s="50"/>
      <c r="T54" s="73"/>
      <c r="U54" s="73"/>
      <c r="V54" s="73" t="s">
        <v>72</v>
      </c>
      <c r="W54" s="357" t="s">
        <v>843</v>
      </c>
      <c r="X54" s="73"/>
      <c r="Y54" s="73"/>
    </row>
    <row r="55" spans="2:25" ht="12" customHeight="1" x14ac:dyDescent="0.25">
      <c r="B55" s="63" t="s">
        <v>457</v>
      </c>
      <c r="C55" s="292">
        <v>1532957</v>
      </c>
      <c r="D55" s="292">
        <v>1309147</v>
      </c>
      <c r="E55" s="64" t="str">
        <f>+IF(ABS($C55)&gt;='1. 중요성 기준'!$G$62,"Y","N")</f>
        <v>N</v>
      </c>
      <c r="F55" s="67" t="s">
        <v>49</v>
      </c>
      <c r="G55" s="67" t="s">
        <v>49</v>
      </c>
      <c r="H55" s="67" t="s">
        <v>49</v>
      </c>
      <c r="I55" s="67" t="s">
        <v>49</v>
      </c>
      <c r="J55" s="67" t="s">
        <v>49</v>
      </c>
      <c r="K55" s="67" t="s">
        <v>49</v>
      </c>
      <c r="L55" s="67" t="s">
        <v>49</v>
      </c>
      <c r="M55" s="67" t="s">
        <v>49</v>
      </c>
      <c r="N55" s="67" t="s">
        <v>49</v>
      </c>
      <c r="O55" s="67" t="s">
        <v>49</v>
      </c>
      <c r="P55" s="68" t="str">
        <f t="shared" si="3"/>
        <v>N</v>
      </c>
      <c r="Q55" s="217" t="s">
        <v>213</v>
      </c>
      <c r="R55" s="68" t="str">
        <f t="shared" si="4"/>
        <v>N</v>
      </c>
      <c r="S55" s="50"/>
      <c r="T55" s="73"/>
      <c r="U55" s="73"/>
      <c r="V55" s="73"/>
      <c r="W55" s="73"/>
      <c r="X55" s="73"/>
      <c r="Y55" s="73"/>
    </row>
    <row r="56" spans="2:25" ht="12" customHeight="1" x14ac:dyDescent="0.25">
      <c r="B56" s="63" t="s">
        <v>458</v>
      </c>
      <c r="C56" s="292">
        <v>4124966</v>
      </c>
      <c r="D56" s="292">
        <v>2529789</v>
      </c>
      <c r="E56" s="64" t="str">
        <f>+IF(ABS($C56)&gt;='1. 중요성 기준'!$G$62,"Y","N")</f>
        <v>N</v>
      </c>
      <c r="F56" s="67" t="s">
        <v>49</v>
      </c>
      <c r="G56" s="67" t="s">
        <v>49</v>
      </c>
      <c r="H56" s="67" t="s">
        <v>49</v>
      </c>
      <c r="I56" s="67" t="s">
        <v>49</v>
      </c>
      <c r="J56" s="67" t="s">
        <v>49</v>
      </c>
      <c r="K56" s="67" t="s">
        <v>49</v>
      </c>
      <c r="L56" s="67" t="s">
        <v>49</v>
      </c>
      <c r="M56" s="67" t="s">
        <v>49</v>
      </c>
      <c r="N56" s="67" t="s">
        <v>49</v>
      </c>
      <c r="O56" s="67" t="s">
        <v>49</v>
      </c>
      <c r="P56" s="68" t="str">
        <f t="shared" ref="P56:P59" si="5">IF(SUM(COUNTIF($F56:$O56,"High")*$C$12+COUNTIF($F56:$O56,"Medium")*$C$13+COUNTIF($F56:$O56,"Low")*$C$14)/10&gt;=2,"Y","N")</f>
        <v>N</v>
      </c>
      <c r="Q56" s="217" t="s">
        <v>213</v>
      </c>
      <c r="R56" s="68" t="str">
        <f t="shared" si="4"/>
        <v>N</v>
      </c>
      <c r="S56" s="50"/>
      <c r="T56" s="73"/>
      <c r="U56" s="73"/>
      <c r="V56" s="73"/>
      <c r="W56" s="73"/>
      <c r="X56" s="73"/>
      <c r="Y56" s="73"/>
    </row>
    <row r="57" spans="2:25" ht="12" customHeight="1" x14ac:dyDescent="0.25">
      <c r="B57" s="63" t="s">
        <v>459</v>
      </c>
      <c r="C57" s="292">
        <v>0</v>
      </c>
      <c r="D57" s="292">
        <v>83715</v>
      </c>
      <c r="E57" s="64" t="str">
        <f>+IF(ABS($C57)&gt;='1. 중요성 기준'!$G$62,"Y","N")</f>
        <v>N</v>
      </c>
      <c r="F57" s="67" t="s">
        <v>49</v>
      </c>
      <c r="G57" s="67" t="s">
        <v>49</v>
      </c>
      <c r="H57" s="67" t="s">
        <v>49</v>
      </c>
      <c r="I57" s="67" t="s">
        <v>49</v>
      </c>
      <c r="J57" s="67" t="s">
        <v>49</v>
      </c>
      <c r="K57" s="67" t="s">
        <v>49</v>
      </c>
      <c r="L57" s="67" t="s">
        <v>49</v>
      </c>
      <c r="M57" s="67" t="s">
        <v>49</v>
      </c>
      <c r="N57" s="67" t="s">
        <v>49</v>
      </c>
      <c r="O57" s="67" t="s">
        <v>49</v>
      </c>
      <c r="P57" s="68" t="str">
        <f t="shared" si="5"/>
        <v>N</v>
      </c>
      <c r="Q57" s="217" t="s">
        <v>213</v>
      </c>
      <c r="R57" s="68" t="str">
        <f t="shared" si="4"/>
        <v>N</v>
      </c>
      <c r="S57" s="50"/>
      <c r="T57" s="73"/>
      <c r="U57" s="73"/>
      <c r="V57" s="73"/>
      <c r="W57" s="73"/>
      <c r="X57" s="73"/>
      <c r="Y57" s="73"/>
    </row>
    <row r="58" spans="2:25" ht="12" customHeight="1" x14ac:dyDescent="0.25">
      <c r="B58" s="63" t="s">
        <v>460</v>
      </c>
      <c r="C58" s="292">
        <v>33318880</v>
      </c>
      <c r="D58" s="292">
        <v>50854773</v>
      </c>
      <c r="E58" s="64" t="str">
        <f>+IF(ABS($C58)&gt;='1. 중요성 기준'!$G$62,"Y","N")</f>
        <v>N</v>
      </c>
      <c r="F58" s="67" t="s">
        <v>49</v>
      </c>
      <c r="G58" s="67" t="s">
        <v>49</v>
      </c>
      <c r="H58" s="67" t="s">
        <v>49</v>
      </c>
      <c r="I58" s="67" t="s">
        <v>49</v>
      </c>
      <c r="J58" s="67" t="s">
        <v>49</v>
      </c>
      <c r="K58" s="67" t="s">
        <v>49</v>
      </c>
      <c r="L58" s="67" t="s">
        <v>49</v>
      </c>
      <c r="M58" s="67" t="s">
        <v>49</v>
      </c>
      <c r="N58" s="67" t="s">
        <v>49</v>
      </c>
      <c r="O58" s="67" t="s">
        <v>49</v>
      </c>
      <c r="P58" s="68" t="str">
        <f t="shared" si="5"/>
        <v>N</v>
      </c>
      <c r="Q58" s="217" t="s">
        <v>213</v>
      </c>
      <c r="R58" s="68" t="str">
        <f t="shared" si="4"/>
        <v>N</v>
      </c>
      <c r="S58" s="50"/>
      <c r="T58" s="73"/>
      <c r="U58" s="73"/>
      <c r="V58" s="73"/>
      <c r="W58" s="73"/>
      <c r="X58" s="73"/>
      <c r="Y58" s="73"/>
    </row>
    <row r="59" spans="2:25" ht="12" customHeight="1" x14ac:dyDescent="0.25">
      <c r="B59" s="63" t="s">
        <v>461</v>
      </c>
      <c r="C59" s="292">
        <v>465397</v>
      </c>
      <c r="D59" s="292">
        <v>693973</v>
      </c>
      <c r="E59" s="64" t="str">
        <f>+IF(ABS($C59)&gt;='1. 중요성 기준'!$G$62,"Y","N")</f>
        <v>N</v>
      </c>
      <c r="F59" s="67" t="s">
        <v>49</v>
      </c>
      <c r="G59" s="67" t="s">
        <v>49</v>
      </c>
      <c r="H59" s="67" t="s">
        <v>49</v>
      </c>
      <c r="I59" s="67" t="s">
        <v>49</v>
      </c>
      <c r="J59" s="67" t="s">
        <v>49</v>
      </c>
      <c r="K59" s="67" t="s">
        <v>49</v>
      </c>
      <c r="L59" s="67" t="s">
        <v>49</v>
      </c>
      <c r="M59" s="67" t="s">
        <v>49</v>
      </c>
      <c r="N59" s="67" t="s">
        <v>49</v>
      </c>
      <c r="O59" s="67" t="s">
        <v>49</v>
      </c>
      <c r="P59" s="68" t="str">
        <f t="shared" si="5"/>
        <v>N</v>
      </c>
      <c r="Q59" s="217" t="s">
        <v>213</v>
      </c>
      <c r="R59" s="68" t="str">
        <f t="shared" si="4"/>
        <v>N</v>
      </c>
      <c r="S59" s="50"/>
      <c r="T59" s="73"/>
      <c r="U59" s="73"/>
      <c r="V59" s="73"/>
      <c r="W59" s="73"/>
      <c r="X59" s="73"/>
      <c r="Y59" s="73"/>
    </row>
    <row r="60" spans="2:25" ht="12" customHeight="1" x14ac:dyDescent="0.25">
      <c r="B60" s="60" t="s">
        <v>424</v>
      </c>
      <c r="C60" s="295">
        <f>SUM(C61:C66)</f>
        <v>420374902</v>
      </c>
      <c r="D60" s="295">
        <f>SUM(D61:D66)</f>
        <v>216236889</v>
      </c>
      <c r="E60" s="65"/>
      <c r="F60" s="69"/>
      <c r="G60" s="69"/>
      <c r="H60" s="69"/>
      <c r="I60" s="69"/>
      <c r="J60" s="69"/>
      <c r="K60" s="69"/>
      <c r="L60" s="69"/>
      <c r="M60" s="69"/>
      <c r="N60" s="69"/>
      <c r="O60" s="69"/>
      <c r="P60" s="65"/>
      <c r="Q60" s="217"/>
      <c r="R60" s="65"/>
      <c r="S60" s="50"/>
      <c r="T60" s="73"/>
      <c r="U60" s="73"/>
      <c r="V60" s="73"/>
      <c r="W60" s="73"/>
      <c r="X60" s="73"/>
      <c r="Y60" s="73"/>
    </row>
    <row r="61" spans="2:25" ht="12" customHeight="1" x14ac:dyDescent="0.25">
      <c r="B61" s="63" t="s">
        <v>462</v>
      </c>
      <c r="C61" s="292">
        <v>132625520</v>
      </c>
      <c r="D61" s="292">
        <v>95695074</v>
      </c>
      <c r="E61" s="64" t="str">
        <f>+IF(ABS($C61)&gt;='1. 중요성 기준'!$G$62,"Y","N")</f>
        <v>N</v>
      </c>
      <c r="F61" s="67" t="s">
        <v>50</v>
      </c>
      <c r="G61" s="67" t="s">
        <v>55</v>
      </c>
      <c r="H61" s="67" t="s">
        <v>50</v>
      </c>
      <c r="I61" s="67" t="s">
        <v>49</v>
      </c>
      <c r="J61" s="67" t="s">
        <v>49</v>
      </c>
      <c r="K61" s="67" t="s">
        <v>55</v>
      </c>
      <c r="L61" s="67" t="s">
        <v>55</v>
      </c>
      <c r="M61" s="67" t="s">
        <v>55</v>
      </c>
      <c r="N61" s="67" t="s">
        <v>50</v>
      </c>
      <c r="O61" s="67" t="s">
        <v>49</v>
      </c>
      <c r="P61" s="68" t="str">
        <f t="shared" ref="P61" si="6">IF(SUM(COUNTIF($F61:$O61,"High")*$C$12+COUNTIF($F61:$O61,"Medium")*$C$13+COUNTIF($F61:$O61,"Low")*$C$14)/10&gt;=2,"Y","N")</f>
        <v>Y</v>
      </c>
      <c r="Q61" s="217" t="s">
        <v>477</v>
      </c>
      <c r="R61" s="68" t="str">
        <f t="shared" si="4"/>
        <v>Y</v>
      </c>
      <c r="S61" s="50"/>
      <c r="T61" s="73"/>
      <c r="U61" s="73"/>
      <c r="V61" s="73" t="s">
        <v>72</v>
      </c>
      <c r="W61" s="357" t="s">
        <v>843</v>
      </c>
      <c r="X61" s="73"/>
      <c r="Y61" s="73"/>
    </row>
    <row r="62" spans="2:25" ht="12" customHeight="1" x14ac:dyDescent="0.25">
      <c r="B62" s="63" t="s">
        <v>463</v>
      </c>
      <c r="C62" s="292">
        <v>2980737</v>
      </c>
      <c r="D62" s="292">
        <v>1648509</v>
      </c>
      <c r="E62" s="64" t="str">
        <f>+IF(ABS($C62)&gt;='1. 중요성 기준'!$G$62,"Y","N")</f>
        <v>N</v>
      </c>
      <c r="F62" s="67" t="s">
        <v>49</v>
      </c>
      <c r="G62" s="67" t="s">
        <v>49</v>
      </c>
      <c r="H62" s="67" t="s">
        <v>49</v>
      </c>
      <c r="I62" s="67" t="s">
        <v>49</v>
      </c>
      <c r="J62" s="67" t="s">
        <v>49</v>
      </c>
      <c r="K62" s="67" t="s">
        <v>49</v>
      </c>
      <c r="L62" s="67" t="s">
        <v>49</v>
      </c>
      <c r="M62" s="67" t="s">
        <v>49</v>
      </c>
      <c r="N62" s="67" t="s">
        <v>49</v>
      </c>
      <c r="O62" s="67" t="s">
        <v>49</v>
      </c>
      <c r="P62" s="68" t="str">
        <f t="shared" ref="P62:P65" si="7">IF(SUM(COUNTIF($F62:$O62,"High")*$C$12+COUNTIF($F62:$O62,"Medium")*$C$13+COUNTIF($F62:$O62,"Low")*$C$14)/10&gt;=2,"Y","N")</f>
        <v>N</v>
      </c>
      <c r="Q62" s="217" t="s">
        <v>213</v>
      </c>
      <c r="R62" s="68" t="str">
        <f t="shared" si="4"/>
        <v>N</v>
      </c>
      <c r="S62" s="50"/>
      <c r="T62" s="73"/>
      <c r="U62" s="73"/>
      <c r="V62" s="73"/>
      <c r="W62" s="73"/>
      <c r="X62" s="73"/>
      <c r="Y62" s="73"/>
    </row>
    <row r="63" spans="2:25" ht="12" customHeight="1" x14ac:dyDescent="0.25">
      <c r="B63" s="63" t="s">
        <v>464</v>
      </c>
      <c r="C63" s="292">
        <v>35991165</v>
      </c>
      <c r="D63" s="292">
        <v>6242932</v>
      </c>
      <c r="E63" s="64" t="str">
        <f>+IF(ABS($C63)&gt;='1. 중요성 기준'!$G$62,"Y","N")</f>
        <v>N</v>
      </c>
      <c r="F63" s="67" t="s">
        <v>49</v>
      </c>
      <c r="G63" s="67" t="s">
        <v>49</v>
      </c>
      <c r="H63" s="67" t="s">
        <v>49</v>
      </c>
      <c r="I63" s="67" t="s">
        <v>49</v>
      </c>
      <c r="J63" s="67" t="s">
        <v>49</v>
      </c>
      <c r="K63" s="67" t="s">
        <v>49</v>
      </c>
      <c r="L63" s="67" t="s">
        <v>49</v>
      </c>
      <c r="M63" s="67" t="s">
        <v>49</v>
      </c>
      <c r="N63" s="67" t="s">
        <v>49</v>
      </c>
      <c r="O63" s="67" t="s">
        <v>49</v>
      </c>
      <c r="P63" s="68" t="str">
        <f t="shared" si="7"/>
        <v>N</v>
      </c>
      <c r="Q63" s="217" t="s">
        <v>213</v>
      </c>
      <c r="R63" s="68" t="str">
        <f t="shared" si="4"/>
        <v>N</v>
      </c>
      <c r="S63" s="50"/>
      <c r="T63" s="73"/>
      <c r="U63" s="73"/>
      <c r="V63" s="73"/>
      <c r="W63" s="73"/>
      <c r="X63" s="73"/>
      <c r="Y63" s="73"/>
    </row>
    <row r="64" spans="2:25" ht="12" customHeight="1" x14ac:dyDescent="0.25">
      <c r="B64" s="63" t="s">
        <v>465</v>
      </c>
      <c r="C64" s="292">
        <v>13410617</v>
      </c>
      <c r="D64" s="292"/>
      <c r="E64" s="64" t="str">
        <f>+IF(ABS($C64)&gt;='1. 중요성 기준'!$G$62,"Y","N")</f>
        <v>N</v>
      </c>
      <c r="F64" s="67" t="s">
        <v>49</v>
      </c>
      <c r="G64" s="67" t="s">
        <v>49</v>
      </c>
      <c r="H64" s="67" t="s">
        <v>49</v>
      </c>
      <c r="I64" s="67" t="s">
        <v>49</v>
      </c>
      <c r="J64" s="67" t="s">
        <v>49</v>
      </c>
      <c r="K64" s="67" t="s">
        <v>49</v>
      </c>
      <c r="L64" s="67" t="s">
        <v>49</v>
      </c>
      <c r="M64" s="67" t="s">
        <v>49</v>
      </c>
      <c r="N64" s="67" t="s">
        <v>49</v>
      </c>
      <c r="O64" s="67" t="s">
        <v>49</v>
      </c>
      <c r="P64" s="68" t="str">
        <f t="shared" si="7"/>
        <v>N</v>
      </c>
      <c r="Q64" s="217" t="s">
        <v>213</v>
      </c>
      <c r="R64" s="68" t="str">
        <f t="shared" si="4"/>
        <v>N</v>
      </c>
      <c r="S64" s="50"/>
      <c r="T64" s="73"/>
      <c r="U64" s="73"/>
      <c r="V64" s="73"/>
      <c r="W64" s="73"/>
      <c r="X64" s="73"/>
      <c r="Y64" s="73"/>
    </row>
    <row r="65" spans="2:25" ht="12" customHeight="1" x14ac:dyDescent="0.25">
      <c r="B65" s="63" t="s">
        <v>466</v>
      </c>
      <c r="C65" s="292">
        <v>235148010</v>
      </c>
      <c r="D65" s="292">
        <v>112126660</v>
      </c>
      <c r="E65" s="64" t="str">
        <f>+IF(ABS($C65)&gt;='1. 중요성 기준'!$G$62,"Y","N")</f>
        <v>Y</v>
      </c>
      <c r="F65" s="67" t="s">
        <v>50</v>
      </c>
      <c r="G65" s="67" t="s">
        <v>50</v>
      </c>
      <c r="H65" s="67" t="s">
        <v>50</v>
      </c>
      <c r="I65" s="67" t="s">
        <v>49</v>
      </c>
      <c r="J65" s="67" t="s">
        <v>49</v>
      </c>
      <c r="K65" s="67" t="s">
        <v>50</v>
      </c>
      <c r="L65" s="67" t="s">
        <v>55</v>
      </c>
      <c r="M65" s="67" t="s">
        <v>49</v>
      </c>
      <c r="N65" s="67" t="s">
        <v>50</v>
      </c>
      <c r="O65" s="67" t="s">
        <v>49</v>
      </c>
      <c r="P65" s="68" t="str">
        <f t="shared" si="7"/>
        <v>Y</v>
      </c>
      <c r="Q65" s="217" t="s">
        <v>476</v>
      </c>
      <c r="R65" s="68" t="str">
        <f t="shared" si="4"/>
        <v>Y</v>
      </c>
      <c r="S65" s="50"/>
      <c r="T65" s="73"/>
      <c r="U65" s="73"/>
      <c r="V65" s="73" t="s">
        <v>72</v>
      </c>
      <c r="W65" s="357" t="s">
        <v>843</v>
      </c>
      <c r="X65" s="73"/>
      <c r="Y65" s="73"/>
    </row>
    <row r="66" spans="2:25" ht="12" customHeight="1" x14ac:dyDescent="0.25">
      <c r="B66" s="63" t="s">
        <v>467</v>
      </c>
      <c r="C66" s="292">
        <v>218853</v>
      </c>
      <c r="D66" s="292">
        <v>523714</v>
      </c>
      <c r="E66" s="64" t="str">
        <f>+IF(ABS($C66)&gt;='1. 중요성 기준'!$G$62,"Y","N")</f>
        <v>N</v>
      </c>
      <c r="F66" s="67" t="s">
        <v>49</v>
      </c>
      <c r="G66" s="67" t="s">
        <v>49</v>
      </c>
      <c r="H66" s="67" t="s">
        <v>49</v>
      </c>
      <c r="I66" s="67" t="s">
        <v>49</v>
      </c>
      <c r="J66" s="67" t="s">
        <v>49</v>
      </c>
      <c r="K66" s="67" t="s">
        <v>49</v>
      </c>
      <c r="L66" s="67" t="s">
        <v>49</v>
      </c>
      <c r="M66" s="67" t="s">
        <v>49</v>
      </c>
      <c r="N66" s="67" t="s">
        <v>49</v>
      </c>
      <c r="O66" s="67" t="s">
        <v>49</v>
      </c>
      <c r="P66" s="68" t="str">
        <f t="shared" ref="P66" si="8">IF(SUM(COUNTIF($F66:$O66,"High")*$C$12+COUNTIF($F66:$O66,"Medium")*$C$13+COUNTIF($F66:$O66,"Low")*$C$14)/10&gt;=2,"Y","N")</f>
        <v>N</v>
      </c>
      <c r="Q66" s="217" t="s">
        <v>213</v>
      </c>
      <c r="R66" s="68" t="str">
        <f t="shared" si="4"/>
        <v>N</v>
      </c>
      <c r="S66" s="50"/>
      <c r="T66" s="73"/>
      <c r="U66" s="73"/>
      <c r="V66" s="73"/>
      <c r="W66" s="73"/>
      <c r="X66" s="73"/>
      <c r="Y66" s="73"/>
    </row>
    <row r="67" spans="2:25" ht="12" customHeight="1" x14ac:dyDescent="0.25">
      <c r="B67" s="60" t="s">
        <v>425</v>
      </c>
      <c r="C67" s="295">
        <f>C49+C50-C60</f>
        <v>4818843993</v>
      </c>
      <c r="D67" s="295">
        <f>D49+D50-D60</f>
        <v>3792692890</v>
      </c>
      <c r="E67" s="65"/>
      <c r="F67" s="69"/>
      <c r="G67" s="69"/>
      <c r="H67" s="69"/>
      <c r="I67" s="69"/>
      <c r="J67" s="69"/>
      <c r="K67" s="69"/>
      <c r="L67" s="69"/>
      <c r="M67" s="69"/>
      <c r="N67" s="69"/>
      <c r="O67" s="69"/>
      <c r="P67" s="65"/>
      <c r="Q67" s="217"/>
      <c r="R67" s="65"/>
      <c r="S67" s="50"/>
      <c r="T67" s="73"/>
      <c r="U67" s="73"/>
      <c r="V67" s="73"/>
      <c r="W67" s="73"/>
      <c r="X67" s="73"/>
      <c r="Y67" s="73"/>
    </row>
    <row r="68" spans="2:25" ht="12" customHeight="1" x14ac:dyDescent="0.25">
      <c r="B68" s="60" t="s">
        <v>426</v>
      </c>
      <c r="C68" s="295">
        <f>C69</f>
        <v>404133090</v>
      </c>
      <c r="D68" s="295">
        <f>D69</f>
        <v>268553004</v>
      </c>
      <c r="E68" s="65"/>
      <c r="F68" s="69"/>
      <c r="G68" s="69"/>
      <c r="H68" s="69"/>
      <c r="I68" s="69"/>
      <c r="J68" s="69"/>
      <c r="K68" s="69"/>
      <c r="L68" s="69"/>
      <c r="M68" s="69"/>
      <c r="N68" s="69"/>
      <c r="O68" s="69"/>
      <c r="P68" s="65"/>
      <c r="Q68" s="217"/>
      <c r="R68" s="65"/>
      <c r="S68" s="50"/>
      <c r="T68" s="73"/>
      <c r="U68" s="73"/>
      <c r="V68" s="73"/>
      <c r="W68" s="73"/>
      <c r="X68" s="73"/>
      <c r="Y68" s="73"/>
    </row>
    <row r="69" spans="2:25" ht="12" customHeight="1" x14ac:dyDescent="0.25">
      <c r="B69" s="63" t="s">
        <v>98</v>
      </c>
      <c r="C69" s="292">
        <v>404133090</v>
      </c>
      <c r="D69" s="292">
        <v>268553004</v>
      </c>
      <c r="E69" s="64" t="str">
        <f>+IF(ABS($C69)&gt;='1. 중요성 기준'!$G$62,"Y","N")</f>
        <v>Y</v>
      </c>
      <c r="F69" s="67"/>
      <c r="G69" s="67"/>
      <c r="H69" s="67"/>
      <c r="I69" s="67"/>
      <c r="J69" s="67"/>
      <c r="K69" s="67"/>
      <c r="L69" s="67"/>
      <c r="M69" s="67"/>
      <c r="N69" s="67"/>
      <c r="O69" s="67"/>
      <c r="P69" s="68" t="str">
        <f>IF(SUM(COUNTIF($F69:$O69,"High")*$C$12+COUNTIF($F69:$O69,"Medium")*$C$13+COUNTIF($F69:$O69,"Low")*$C$14)/10&gt;=2,"Y","N")</f>
        <v>N</v>
      </c>
      <c r="Q69" s="80"/>
      <c r="R69" s="68" t="str">
        <f t="shared" ref="R69" si="9">IF(COUNTIF($E69:$P69,"Y")&gt;0,"Y","N")</f>
        <v>Y</v>
      </c>
      <c r="S69" s="50"/>
      <c r="T69" s="73"/>
      <c r="U69" s="73"/>
      <c r="V69" s="73"/>
      <c r="W69" s="73" t="s">
        <v>72</v>
      </c>
      <c r="X69" s="73"/>
      <c r="Y69" s="73"/>
    </row>
    <row r="70" spans="2:25" ht="12" customHeight="1" x14ac:dyDescent="0.25">
      <c r="B70" s="60" t="s">
        <v>427</v>
      </c>
      <c r="C70" s="295">
        <f>C67-C68</f>
        <v>4414710903</v>
      </c>
      <c r="D70" s="295">
        <f>D67-D68</f>
        <v>3524139886</v>
      </c>
      <c r="E70" s="65"/>
      <c r="F70" s="69"/>
      <c r="G70" s="69"/>
      <c r="H70" s="69"/>
      <c r="I70" s="69"/>
      <c r="J70" s="69"/>
      <c r="K70" s="69"/>
      <c r="L70" s="69"/>
      <c r="M70" s="69"/>
      <c r="N70" s="69"/>
      <c r="O70" s="69"/>
      <c r="P70" s="65"/>
      <c r="Q70" s="81"/>
      <c r="R70" s="37"/>
      <c r="S70" s="50"/>
      <c r="T70" s="70"/>
      <c r="U70" s="70"/>
      <c r="V70" s="70"/>
      <c r="W70" s="70"/>
      <c r="X70" s="70"/>
      <c r="Y70" s="70"/>
    </row>
    <row r="71" spans="2:25" x14ac:dyDescent="0.25">
      <c r="B71" s="201"/>
      <c r="C71" s="201"/>
      <c r="D71" s="202"/>
      <c r="E71" s="203"/>
      <c r="F71" s="203"/>
      <c r="G71" s="204"/>
      <c r="H71" s="205"/>
      <c r="I71" s="205"/>
      <c r="J71" s="205"/>
      <c r="K71" s="205"/>
      <c r="L71" s="205"/>
      <c r="M71" s="205"/>
      <c r="N71" s="205"/>
      <c r="O71" s="205"/>
      <c r="P71" s="205"/>
      <c r="Q71" s="205"/>
      <c r="R71" s="206"/>
      <c r="S71" s="207"/>
      <c r="T71" s="208"/>
      <c r="V71" s="209"/>
      <c r="W71" s="209"/>
      <c r="X71" s="209"/>
      <c r="Y71" s="209"/>
    </row>
    <row r="72" spans="2:25" x14ac:dyDescent="0.25">
      <c r="B72" s="6" t="s">
        <v>202</v>
      </c>
      <c r="D72" s="55"/>
      <c r="E72" s="213"/>
      <c r="H72" s="50"/>
      <c r="I72" s="50"/>
      <c r="J72" s="50"/>
      <c r="K72" s="50"/>
      <c r="L72" s="50"/>
      <c r="M72" s="50"/>
      <c r="N72" s="50"/>
      <c r="O72" s="50"/>
      <c r="P72" s="50"/>
      <c r="Q72" s="50"/>
      <c r="R72" s="50"/>
    </row>
    <row r="73" spans="2:25" x14ac:dyDescent="0.25">
      <c r="D73" s="55"/>
      <c r="E73" s="50"/>
      <c r="H73" s="50"/>
      <c r="I73" s="50"/>
      <c r="J73" s="50"/>
      <c r="K73" s="50"/>
      <c r="L73" s="50"/>
      <c r="M73" s="50"/>
      <c r="N73" s="50"/>
      <c r="O73" s="50"/>
      <c r="P73" s="50"/>
      <c r="Q73" s="50"/>
      <c r="R73" s="50"/>
    </row>
    <row r="74" spans="2:25" x14ac:dyDescent="0.25">
      <c r="D74" s="55"/>
      <c r="E74" s="50"/>
      <c r="H74" s="50"/>
      <c r="I74" s="50"/>
      <c r="J74" s="50"/>
      <c r="K74" s="50"/>
      <c r="L74" s="50"/>
      <c r="M74" s="50"/>
      <c r="N74" s="50"/>
      <c r="O74" s="50"/>
      <c r="P74" s="50"/>
      <c r="Q74" s="50"/>
      <c r="R74" s="50"/>
    </row>
    <row r="75" spans="2:25" x14ac:dyDescent="0.25">
      <c r="D75" s="55"/>
      <c r="E75" s="50"/>
      <c r="H75" s="50"/>
      <c r="I75" s="50"/>
      <c r="J75" s="50"/>
      <c r="K75" s="50"/>
      <c r="L75" s="50"/>
      <c r="M75" s="50"/>
      <c r="N75" s="50"/>
      <c r="O75" s="50"/>
      <c r="P75" s="50"/>
      <c r="Q75" s="50"/>
      <c r="R75" s="50"/>
    </row>
    <row r="76" spans="2:25" x14ac:dyDescent="0.25">
      <c r="H76" s="50"/>
      <c r="I76" s="50"/>
      <c r="J76" s="50"/>
      <c r="K76" s="50"/>
      <c r="L76" s="50"/>
      <c r="M76" s="50"/>
      <c r="N76" s="50"/>
      <c r="O76" s="50"/>
      <c r="P76" s="50"/>
      <c r="Q76" s="50"/>
      <c r="R76" s="50"/>
      <c r="S76" s="50"/>
    </row>
    <row r="77" spans="2:25" x14ac:dyDescent="0.25">
      <c r="H77" s="50"/>
      <c r="I77" s="50"/>
      <c r="J77" s="50"/>
      <c r="K77" s="50"/>
      <c r="L77" s="50"/>
      <c r="M77" s="50"/>
      <c r="N77" s="50"/>
      <c r="O77" s="50"/>
      <c r="P77" s="50"/>
      <c r="Q77" s="50"/>
      <c r="R77" s="50"/>
      <c r="S77" s="50"/>
    </row>
    <row r="78" spans="2:25" x14ac:dyDescent="0.25">
      <c r="H78" s="50"/>
      <c r="I78" s="50"/>
      <c r="J78" s="50"/>
      <c r="K78" s="50"/>
      <c r="L78" s="50"/>
      <c r="M78" s="50"/>
      <c r="N78" s="50"/>
      <c r="O78" s="50"/>
      <c r="P78" s="50"/>
      <c r="Q78" s="50"/>
      <c r="R78" s="50"/>
      <c r="S78" s="50"/>
    </row>
    <row r="79" spans="2:25" x14ac:dyDescent="0.25">
      <c r="H79" s="50"/>
      <c r="I79" s="50"/>
      <c r="J79" s="50"/>
      <c r="K79" s="50"/>
      <c r="L79" s="50"/>
      <c r="M79" s="50"/>
      <c r="N79" s="50"/>
      <c r="O79" s="50"/>
      <c r="P79" s="50"/>
      <c r="Q79" s="50"/>
      <c r="R79" s="50"/>
      <c r="S79" s="50"/>
    </row>
    <row r="80" spans="2:25" x14ac:dyDescent="0.25">
      <c r="E80" s="50"/>
    </row>
    <row r="81" spans="5:5" x14ac:dyDescent="0.25">
      <c r="E81" s="50"/>
    </row>
    <row r="82" spans="5:5" x14ac:dyDescent="0.25">
      <c r="E82" s="50"/>
    </row>
  </sheetData>
  <autoFilter ref="B17:Y72" xr:uid="{00000000-0001-0000-0500-00000000000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1">
    <mergeCell ref="F17:O17"/>
  </mergeCells>
  <phoneticPr fontId="18" type="noConversion"/>
  <conditionalFormatting sqref="E16:E70">
    <cfRule type="containsText" dxfId="47" priority="274" operator="containsText" text="y">
      <formula>NOT(ISERROR(SEARCH("y",E16)))</formula>
    </cfRule>
  </conditionalFormatting>
  <conditionalFormatting sqref="F19:F21">
    <cfRule type="containsText" dxfId="46" priority="436" operator="containsText" text="y">
      <formula>NOT(ISERROR(SEARCH("y",F19)))</formula>
    </cfRule>
    <cfRule type="containsText" dxfId="45" priority="437" operator="containsText" text="Y">
      <formula>NOT(ISERROR(SEARCH("Y",F19)))</formula>
    </cfRule>
  </conditionalFormatting>
  <conditionalFormatting sqref="F19:O21 F51:O51 F23:O48 F69:O69">
    <cfRule type="expression" dxfId="44" priority="435">
      <formula>$E19="Y"</formula>
    </cfRule>
  </conditionalFormatting>
  <conditionalFormatting sqref="F52:O59">
    <cfRule type="expression" dxfId="43" priority="11">
      <formula>$E52="Y"</formula>
    </cfRule>
  </conditionalFormatting>
  <conditionalFormatting sqref="F61:O66">
    <cfRule type="expression" dxfId="42" priority="4">
      <formula>$E61="Y"</formula>
    </cfRule>
  </conditionalFormatting>
  <conditionalFormatting sqref="F23:P33 F69:P69">
    <cfRule type="expression" dxfId="41" priority="461">
      <formula>$E23="Y"</formula>
    </cfRule>
  </conditionalFormatting>
  <conditionalFormatting sqref="F34:P48">
    <cfRule type="expression" dxfId="40" priority="16">
      <formula>$E34="Y"</formula>
    </cfRule>
  </conditionalFormatting>
  <conditionalFormatting sqref="F51:P59 F19:P21 F61:P66">
    <cfRule type="expression" dxfId="39" priority="209">
      <formula>$E19="Y"</formula>
    </cfRule>
  </conditionalFormatting>
  <conditionalFormatting sqref="G71">
    <cfRule type="containsText" dxfId="38" priority="1838" operator="containsText" text="Y">
      <formula>NOT(ISERROR(SEARCH("Y",G71)))</formula>
    </cfRule>
  </conditionalFormatting>
  <conditionalFormatting sqref="G19:H21">
    <cfRule type="containsText" dxfId="37" priority="343" operator="containsText" text="y">
      <formula>NOT(ISERROR(SEARCH("y",G19)))</formula>
    </cfRule>
    <cfRule type="containsText" dxfId="36" priority="344" operator="containsText" text="Y">
      <formula>NOT(ISERROR(SEARCH("Y",G19)))</formula>
    </cfRule>
  </conditionalFormatting>
  <conditionalFormatting sqref="G21:H21">
    <cfRule type="containsText" dxfId="35" priority="23" operator="containsText" text="y">
      <formula>NOT(ISERROR(SEARCH("y",G21)))</formula>
    </cfRule>
    <cfRule type="containsText" dxfId="34" priority="24" operator="containsText" text="Y">
      <formula>NOT(ISERROR(SEARCH("Y",G21)))</formula>
    </cfRule>
  </conditionalFormatting>
  <conditionalFormatting sqref="H1:H14 G15 G71:G75 H76:H1048576">
    <cfRule type="containsText" dxfId="33" priority="452" operator="containsText" text="y">
      <formula>NOT(ISERROR(SEARCH("y",G1)))</formula>
    </cfRule>
  </conditionalFormatting>
  <conditionalFormatting sqref="H71:Q71">
    <cfRule type="expression" dxfId="32" priority="1830">
      <formula>$G71="Y"</formula>
    </cfRule>
  </conditionalFormatting>
  <conditionalFormatting sqref="M21:N21">
    <cfRule type="containsText" dxfId="31" priority="19" operator="containsText" text="y">
      <formula>NOT(ISERROR(SEARCH("y",M21)))</formula>
    </cfRule>
    <cfRule type="containsText" dxfId="30" priority="20" operator="containsText" text="Y">
      <formula>NOT(ISERROR(SEARCH("Y",M21)))</formula>
    </cfRule>
  </conditionalFormatting>
  <conditionalFormatting sqref="P19:P21">
    <cfRule type="containsText" dxfId="29" priority="331" operator="containsText" text="Y">
      <formula>NOT(ISERROR(SEARCH("Y",P19)))</formula>
    </cfRule>
  </conditionalFormatting>
  <conditionalFormatting sqref="P23:P48">
    <cfRule type="containsText" dxfId="28" priority="387" operator="containsText" text="Y">
      <formula>NOT(ISERROR(SEARCH("Y",P23)))</formula>
    </cfRule>
  </conditionalFormatting>
  <conditionalFormatting sqref="P51:P55 P62:P66 E18:E69 R19:R21 R23:R48 R51:R59 R61:R66">
    <cfRule type="containsText" dxfId="27" priority="1844" operator="containsText" text="Y">
      <formula>NOT(ISERROR(SEARCH("Y",E18)))</formula>
    </cfRule>
  </conditionalFormatting>
  <conditionalFormatting sqref="P56:P59">
    <cfRule type="containsText" dxfId="26" priority="49" operator="containsText" text="Y">
      <formula>NOT(ISERROR(SEARCH("Y",P56)))</formula>
    </cfRule>
  </conditionalFormatting>
  <conditionalFormatting sqref="P61">
    <cfRule type="containsText" dxfId="25" priority="3" operator="containsText" text="Y">
      <formula>NOT(ISERROR(SEARCH("Y",P61)))</formula>
    </cfRule>
  </conditionalFormatting>
  <conditionalFormatting sqref="P69">
    <cfRule type="containsText" dxfId="24" priority="357" operator="containsText" text="Y">
      <formula>NOT(ISERROR(SEARCH("Y",P69)))</formula>
    </cfRule>
    <cfRule type="containsText" dxfId="23" priority="552" operator="containsText" text="Y">
      <formula>NOT(ISERROR(SEARCH("Y",P69)))</formula>
    </cfRule>
  </conditionalFormatting>
  <conditionalFormatting sqref="Q19:Q21">
    <cfRule type="expression" dxfId="22" priority="2148">
      <formula>$B19=""</formula>
    </cfRule>
    <cfRule type="expression" dxfId="21" priority="2149">
      <formula>$E19="Y"</formula>
    </cfRule>
  </conditionalFormatting>
  <conditionalFormatting sqref="Q24:Q69">
    <cfRule type="expression" dxfId="20" priority="1">
      <formula>$B24=""</formula>
    </cfRule>
    <cfRule type="expression" dxfId="19" priority="2">
      <formula>$E24="Y"</formula>
    </cfRule>
  </conditionalFormatting>
  <conditionalFormatting sqref="R69">
    <cfRule type="containsText" dxfId="18" priority="321" operator="containsText" text="Y">
      <formula>NOT(ISERROR(SEARCH("Y",R69)))</formula>
    </cfRule>
  </conditionalFormatting>
  <conditionalFormatting sqref="R71:S71">
    <cfRule type="containsText" dxfId="17" priority="1836" operator="containsText" text="Y">
      <formula>NOT(ISERROR(SEARCH("Y",R71)))</formula>
    </cfRule>
  </conditionalFormatting>
  <dataValidations count="2">
    <dataValidation type="list" allowBlank="1" showInputMessage="1" showErrorMessage="1" sqref="T69 T52:U52 T65:T66 V33:V34 V25:V26 V40:V42 X43:X48 X66 T61 Y56 Y62:Y64 Y69 W69 Y32:Y36 W52 W45 W61:W62 W27:Y27 U27 U40 W40:X40 U45 U47 V51:W51 V54:W54 V61 V65:W65 T19:Y21 W23:X25 W35:W36 W47" xr:uid="{00000000-0002-0000-0500-000000000000}">
      <formula1>"O"</formula1>
    </dataValidation>
    <dataValidation type="list" allowBlank="1" showInputMessage="1" showErrorMessage="1" sqref="F69:O69 F19:O21 F23:O48 F51:O59 F61:O66" xr:uid="{00000000-0002-0000-0500-000001000000}">
      <formula1>$B$12:$B$14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1"/>
  </sheetPr>
  <dimension ref="B2:Z83"/>
  <sheetViews>
    <sheetView showGridLines="0" topLeftCell="A15" zoomScale="85" zoomScaleNormal="85" workbookViewId="0">
      <pane xSplit="19" ySplit="4" topLeftCell="T27" activePane="bottomRight" state="frozen"/>
      <selection activeCell="A15" sqref="A15"/>
      <selection pane="topRight" activeCell="T15" sqref="T15"/>
      <selection pane="bottomLeft" activeCell="A19" sqref="A19"/>
      <selection pane="bottomRight" activeCell="V41" sqref="V41"/>
    </sheetView>
  </sheetViews>
  <sheetFormatPr defaultColWidth="9" defaultRowHeight="11.5" outlineLevelRow="1" outlineLevelCol="1" x14ac:dyDescent="0.25"/>
  <cols>
    <col min="1" max="1" width="3.33203125" style="6" customWidth="1"/>
    <col min="2" max="2" width="28" style="6" customWidth="1"/>
    <col min="3" max="3" width="13.08203125" style="28" customWidth="1"/>
    <col min="4" max="5" width="11.33203125" style="6" hidden="1" customWidth="1"/>
    <col min="6" max="6" width="13.33203125" style="6" customWidth="1" outlineLevel="1"/>
    <col min="7" max="16" width="5.33203125" style="6" customWidth="1" outlineLevel="1"/>
    <col min="17" max="17" width="7.33203125" style="6" customWidth="1" outlineLevel="1"/>
    <col min="18" max="18" width="43.33203125" style="6" customWidth="1" outlineLevel="1"/>
    <col min="19" max="19" width="7.33203125" style="6" customWidth="1"/>
    <col min="20" max="20" width="2.08203125" style="6" customWidth="1"/>
    <col min="21" max="21" width="5.33203125" style="6" customWidth="1"/>
    <col min="22" max="26" width="6.33203125" style="6" customWidth="1"/>
    <col min="27" max="16384" width="9" style="6"/>
  </cols>
  <sheetData>
    <row r="2" spans="2:26" ht="12" thickBot="1" x14ac:dyDescent="0.3">
      <c r="B2" s="27" t="s">
        <v>143</v>
      </c>
    </row>
    <row r="3" spans="2:26" x14ac:dyDescent="0.25">
      <c r="B3" s="49"/>
    </row>
    <row r="4" spans="2:26" outlineLevel="1" x14ac:dyDescent="0.25">
      <c r="B4" s="29" t="s">
        <v>51</v>
      </c>
    </row>
    <row r="5" spans="2:26" outlineLevel="1" x14ac:dyDescent="0.25">
      <c r="B5" s="6" t="s">
        <v>52</v>
      </c>
    </row>
    <row r="6" spans="2:26" outlineLevel="1" x14ac:dyDescent="0.25"/>
    <row r="7" spans="2:26" outlineLevel="1" x14ac:dyDescent="0.25">
      <c r="B7" s="29" t="s">
        <v>53</v>
      </c>
    </row>
    <row r="8" spans="2:26" outlineLevel="1" x14ac:dyDescent="0.25">
      <c r="B8" s="6" t="s">
        <v>54</v>
      </c>
      <c r="C8" s="6"/>
    </row>
    <row r="9" spans="2:26" outlineLevel="1" x14ac:dyDescent="0.25">
      <c r="B9" s="212" t="s">
        <v>190</v>
      </c>
      <c r="C9" s="6"/>
    </row>
    <row r="10" spans="2:26" outlineLevel="1" x14ac:dyDescent="0.25">
      <c r="B10" s="6" t="s">
        <v>56</v>
      </c>
      <c r="C10" s="6"/>
    </row>
    <row r="11" spans="2:26" ht="16" outlineLevel="1" x14ac:dyDescent="0.25">
      <c r="C11" s="6"/>
      <c r="E11" s="31"/>
      <c r="F11" s="31"/>
    </row>
    <row r="12" spans="2:26" ht="16" outlineLevel="1" x14ac:dyDescent="0.25">
      <c r="B12" s="30" t="s">
        <v>50</v>
      </c>
      <c r="C12" s="30">
        <v>3</v>
      </c>
      <c r="E12" s="31"/>
      <c r="F12" s="31"/>
    </row>
    <row r="13" spans="2:26" ht="16" outlineLevel="1" x14ac:dyDescent="0.25">
      <c r="B13" s="30" t="s">
        <v>55</v>
      </c>
      <c r="C13" s="30">
        <v>2</v>
      </c>
      <c r="E13" s="31"/>
      <c r="F13" s="31"/>
    </row>
    <row r="14" spans="2:26" ht="16" outlineLevel="1" x14ac:dyDescent="0.25">
      <c r="B14" s="30" t="s">
        <v>49</v>
      </c>
      <c r="C14" s="30">
        <v>1</v>
      </c>
      <c r="E14" s="31"/>
      <c r="F14" s="31"/>
    </row>
    <row r="15" spans="2:26" x14ac:dyDescent="0.25">
      <c r="B15" s="32"/>
    </row>
    <row r="16" spans="2:26" ht="114" x14ac:dyDescent="0.25">
      <c r="E16" s="33" t="s">
        <v>57</v>
      </c>
      <c r="G16" s="300" t="s">
        <v>99</v>
      </c>
      <c r="H16" s="301" t="s">
        <v>59</v>
      </c>
      <c r="I16" s="301" t="s">
        <v>100</v>
      </c>
      <c r="J16" s="301" t="s">
        <v>61</v>
      </c>
      <c r="K16" s="301" t="s">
        <v>101</v>
      </c>
      <c r="L16" s="301" t="s">
        <v>63</v>
      </c>
      <c r="M16" s="301" t="s">
        <v>64</v>
      </c>
      <c r="N16" s="301" t="s">
        <v>102</v>
      </c>
      <c r="O16" s="301" t="s">
        <v>66</v>
      </c>
      <c r="P16" s="301" t="s">
        <v>67</v>
      </c>
      <c r="Q16" s="34"/>
      <c r="R16" s="34"/>
      <c r="T16" s="35"/>
      <c r="U16" s="302" t="s">
        <v>469</v>
      </c>
      <c r="V16" s="302" t="s">
        <v>470</v>
      </c>
      <c r="W16" s="302" t="s">
        <v>321</v>
      </c>
      <c r="X16" s="302" t="s">
        <v>472</v>
      </c>
      <c r="Y16" s="302" t="s">
        <v>473</v>
      </c>
      <c r="Z16" s="302" t="s">
        <v>474</v>
      </c>
    </row>
    <row r="17" spans="2:26" s="29" customFormat="1" ht="25" x14ac:dyDescent="0.25">
      <c r="B17" s="312" t="s">
        <v>103</v>
      </c>
      <c r="C17" s="311" t="s">
        <v>168</v>
      </c>
      <c r="D17" s="98" t="s">
        <v>205</v>
      </c>
      <c r="E17" s="98" t="s">
        <v>206</v>
      </c>
      <c r="F17" s="299" t="s">
        <v>145</v>
      </c>
      <c r="G17" s="370" t="s">
        <v>104</v>
      </c>
      <c r="H17" s="370"/>
      <c r="I17" s="370"/>
      <c r="J17" s="370"/>
      <c r="K17" s="370"/>
      <c r="L17" s="370"/>
      <c r="M17" s="370"/>
      <c r="N17" s="370"/>
      <c r="O17" s="370"/>
      <c r="P17" s="370"/>
      <c r="Q17" s="299" t="s">
        <v>105</v>
      </c>
      <c r="R17" s="299" t="s">
        <v>106</v>
      </c>
      <c r="S17" s="325" t="s">
        <v>107</v>
      </c>
      <c r="T17" s="99"/>
      <c r="U17" s="299"/>
      <c r="V17" s="299"/>
      <c r="W17" s="299"/>
      <c r="X17" s="299"/>
      <c r="Y17" s="299"/>
      <c r="Z17" s="299"/>
    </row>
    <row r="18" spans="2:26" x14ac:dyDescent="0.25">
      <c r="B18" s="39" t="s">
        <v>108</v>
      </c>
      <c r="C18" s="38"/>
      <c r="D18" s="36"/>
      <c r="E18" s="36"/>
      <c r="F18" s="37"/>
      <c r="G18" s="40"/>
      <c r="H18" s="40"/>
      <c r="I18" s="40"/>
      <c r="J18" s="40"/>
      <c r="K18" s="40"/>
      <c r="L18" s="40"/>
      <c r="M18" s="40"/>
      <c r="N18" s="40"/>
      <c r="O18" s="40"/>
      <c r="P18" s="40"/>
      <c r="Q18" s="37"/>
      <c r="R18" s="81"/>
      <c r="S18" s="37"/>
      <c r="U18" s="37"/>
      <c r="V18" s="37"/>
      <c r="W18" s="37"/>
      <c r="X18" s="37"/>
      <c r="Y18" s="37"/>
      <c r="Z18" s="37"/>
    </row>
    <row r="19" spans="2:26" ht="34.5" x14ac:dyDescent="0.25">
      <c r="B19" s="53" t="s">
        <v>300</v>
      </c>
      <c r="C19" s="77"/>
      <c r="D19" s="62"/>
      <c r="E19" s="62"/>
      <c r="F19" s="64"/>
      <c r="G19" s="67" t="s">
        <v>49</v>
      </c>
      <c r="H19" s="67" t="s">
        <v>49</v>
      </c>
      <c r="I19" s="67" t="s">
        <v>49</v>
      </c>
      <c r="J19" s="67" t="s">
        <v>49</v>
      </c>
      <c r="K19" s="67" t="s">
        <v>49</v>
      </c>
      <c r="L19" s="67" t="s">
        <v>49</v>
      </c>
      <c r="M19" s="67" t="s">
        <v>49</v>
      </c>
      <c r="N19" s="67" t="s">
        <v>49</v>
      </c>
      <c r="O19" s="67" t="s">
        <v>49</v>
      </c>
      <c r="P19" s="67" t="s">
        <v>55</v>
      </c>
      <c r="Q19" s="68" t="str">
        <f>IF(SUM(COUNTIF($G19:$P19,"High")*$C$12+COUNTIF($G19:$P19,"Medium")*$C$13+COUNTIF($G19:$P19,"Low")*$C$14)/10&gt;=2,"Y","N")</f>
        <v>N</v>
      </c>
      <c r="R19" s="217" t="s">
        <v>276</v>
      </c>
      <c r="S19" s="68" t="str">
        <f>IF(COUNTIF($F19:$Q19,"Y")&gt;0,"Y","N")</f>
        <v>N</v>
      </c>
      <c r="U19" s="73"/>
      <c r="V19" s="229"/>
      <c r="W19" s="229"/>
      <c r="X19" s="229"/>
      <c r="Y19" s="229"/>
      <c r="Z19" s="73"/>
    </row>
    <row r="20" spans="2:26" ht="34.5" x14ac:dyDescent="0.25">
      <c r="B20" s="53" t="s">
        <v>301</v>
      </c>
      <c r="C20" s="77"/>
      <c r="D20" s="62"/>
      <c r="E20" s="62"/>
      <c r="F20" s="77"/>
      <c r="G20" s="67" t="s">
        <v>49</v>
      </c>
      <c r="H20" s="67" t="s">
        <v>49</v>
      </c>
      <c r="I20" s="67" t="s">
        <v>49</v>
      </c>
      <c r="J20" s="67" t="s">
        <v>49</v>
      </c>
      <c r="K20" s="67" t="s">
        <v>49</v>
      </c>
      <c r="L20" s="67" t="s">
        <v>49</v>
      </c>
      <c r="M20" s="67" t="s">
        <v>49</v>
      </c>
      <c r="N20" s="67" t="s">
        <v>55</v>
      </c>
      <c r="O20" s="67" t="s">
        <v>55</v>
      </c>
      <c r="P20" s="67" t="s">
        <v>55</v>
      </c>
      <c r="Q20" s="68" t="str">
        <f t="shared" ref="Q20:Q56" si="0">IF(SUM(COUNTIF($G20:$P20,"High")*$C$12+COUNTIF($G20:$P20,"Medium")*$C$13+COUNTIF($G20:$P20,"Low")*$C$14)/10&gt;=2,"Y","N")</f>
        <v>N</v>
      </c>
      <c r="R20" s="217" t="s">
        <v>323</v>
      </c>
      <c r="S20" s="68" t="str">
        <f t="shared" ref="S20:S55" si="1">IF(COUNTIF($F20:$Q20,"Y")&gt;0,"Y","N")</f>
        <v>N</v>
      </c>
      <c r="U20" s="73"/>
      <c r="V20" s="229"/>
      <c r="W20" s="229"/>
      <c r="X20" s="229"/>
      <c r="Y20" s="229"/>
      <c r="Z20" s="73"/>
    </row>
    <row r="21" spans="2:26" ht="34.5" x14ac:dyDescent="0.25">
      <c r="B21" s="53" t="s">
        <v>302</v>
      </c>
      <c r="C21" s="77"/>
      <c r="D21" s="62">
        <v>10086000000</v>
      </c>
      <c r="E21" s="62">
        <v>871528000</v>
      </c>
      <c r="F21" s="64"/>
      <c r="G21" s="67" t="s">
        <v>49</v>
      </c>
      <c r="H21" s="67" t="s">
        <v>49</v>
      </c>
      <c r="I21" s="67" t="s">
        <v>49</v>
      </c>
      <c r="J21" s="67" t="s">
        <v>49</v>
      </c>
      <c r="K21" s="67" t="s">
        <v>49</v>
      </c>
      <c r="L21" s="67" t="s">
        <v>55</v>
      </c>
      <c r="M21" s="67" t="s">
        <v>55</v>
      </c>
      <c r="N21" s="67" t="s">
        <v>49</v>
      </c>
      <c r="O21" s="67" t="s">
        <v>55</v>
      </c>
      <c r="P21" s="67" t="s">
        <v>55</v>
      </c>
      <c r="Q21" s="68" t="str">
        <f t="shared" si="0"/>
        <v>N</v>
      </c>
      <c r="R21" s="217" t="s">
        <v>323</v>
      </c>
      <c r="S21" s="68" t="str">
        <f t="shared" si="1"/>
        <v>N</v>
      </c>
      <c r="U21" s="73"/>
      <c r="V21" s="229"/>
      <c r="W21" s="229"/>
      <c r="X21" s="229"/>
      <c r="Y21" s="229"/>
      <c r="Z21" s="73"/>
    </row>
    <row r="22" spans="2:26" ht="23" x14ac:dyDescent="0.25">
      <c r="B22" s="53" t="s">
        <v>510</v>
      </c>
      <c r="C22" s="77"/>
      <c r="D22" s="62">
        <f>'2.1 유의한 계정과목(BS)'!C34</f>
        <v>0</v>
      </c>
      <c r="E22" s="62">
        <f>'2.1 유의한 계정과목(BS)'!D34</f>
        <v>0</v>
      </c>
      <c r="F22" s="64"/>
      <c r="G22" s="67" t="s">
        <v>49</v>
      </c>
      <c r="H22" s="67" t="s">
        <v>49</v>
      </c>
      <c r="I22" s="67" t="s">
        <v>49</v>
      </c>
      <c r="J22" s="67" t="s">
        <v>49</v>
      </c>
      <c r="K22" s="67" t="s">
        <v>49</v>
      </c>
      <c r="L22" s="67" t="s">
        <v>49</v>
      </c>
      <c r="M22" s="67" t="s">
        <v>49</v>
      </c>
      <c r="N22" s="67" t="s">
        <v>49</v>
      </c>
      <c r="O22" s="67" t="s">
        <v>49</v>
      </c>
      <c r="P22" s="67" t="s">
        <v>49</v>
      </c>
      <c r="Q22" s="68" t="str">
        <f>IF(SUM(COUNTIF($G22:$P22,"High")*$C$12+COUNTIF($G22:$P22,"Medium")*$C$13+COUNTIF($G22:$P22,"Low")*$C$14)/10&gt;=2,"Y","N")</f>
        <v>N</v>
      </c>
      <c r="R22" s="217" t="s">
        <v>324</v>
      </c>
      <c r="S22" s="68" t="str">
        <f>IF(COUNTIF($F22:$Q22,"Y")&gt;0,"Y","N")</f>
        <v>N</v>
      </c>
      <c r="U22" s="73"/>
      <c r="V22" s="229"/>
      <c r="W22" s="229"/>
      <c r="X22" s="229"/>
      <c r="Y22" s="229"/>
      <c r="Z22" s="73"/>
    </row>
    <row r="23" spans="2:26" ht="34.5" x14ac:dyDescent="0.25">
      <c r="B23" s="53" t="s">
        <v>511</v>
      </c>
      <c r="C23" s="77"/>
      <c r="D23" s="62" t="e">
        <f>SUM('2.1 유의한 계정과목(BS)'!C21:C33,'2.1 유의한 계정과목(BS)'!#REF!,'2.1 유의한 계정과목(BS)'!#REF!,'2.1 유의한 계정과목(BS)'!#REF!,'2.1 유의한 계정과목(BS)'!#REF!,'2.1 유의한 계정과목(BS)'!C64,'2.1 유의한 계정과목(BS)'!#REF!,'2.1 유의한 계정과목(BS)'!#REF!)+SUM('2.1 유의한 계정과목(BS)'!#REF!,'2.1 유의한 계정과목(BS)'!#REF!,'2.1 유의한 계정과목(BS)'!#REF!,'2.1 유의한 계정과목(BS)'!#REF!,'2.1 유의한 계정과목(BS)'!#REF!,'2.1 유의한 계정과목(BS)'!#REF!,'2.1 유의한 계정과목(BS)'!#REF!,'2.1 유의한 계정과목(BS)'!C73,'2.1 유의한 계정과목(BS)'!#REF!,'2.1 유의한 계정과목(BS)'!C79,'2.1 유의한 계정과목(BS)'!C80,'2.1 유의한 계정과목(BS)'!C83,'2.1 유의한 계정과목(BS)'!#REF!,'2.1 유의한 계정과목(BS)'!#REF!,'2.1 유의한 계정과목(BS)'!#REF!)</f>
        <v>#REF!</v>
      </c>
      <c r="E23" s="62" t="e">
        <f>SUM('2.1 유의한 계정과목(BS)'!D21:D33,'2.1 유의한 계정과목(BS)'!#REF!,'2.1 유의한 계정과목(BS)'!#REF!,'2.1 유의한 계정과목(BS)'!#REF!,'2.1 유의한 계정과목(BS)'!#REF!,'2.1 유의한 계정과목(BS)'!D64,'2.1 유의한 계정과목(BS)'!#REF!,'2.1 유의한 계정과목(BS)'!#REF!)+SUM('2.1 유의한 계정과목(BS)'!#REF!,'2.1 유의한 계정과목(BS)'!#REF!,'2.1 유의한 계정과목(BS)'!#REF!,'2.1 유의한 계정과목(BS)'!#REF!,'2.1 유의한 계정과목(BS)'!#REF!,'2.1 유의한 계정과목(BS)'!#REF!,'2.1 유의한 계정과목(BS)'!#REF!,'2.1 유의한 계정과목(BS)'!D73,'2.1 유의한 계정과목(BS)'!#REF!,'2.1 유의한 계정과목(BS)'!D79,'2.1 유의한 계정과목(BS)'!D80,'2.1 유의한 계정과목(BS)'!D83,'2.1 유의한 계정과목(BS)'!#REF!,'2.1 유의한 계정과목(BS)'!#REF!,'2.1 유의한 계정과목(BS)'!#REF!)</f>
        <v>#REF!</v>
      </c>
      <c r="F23" s="64"/>
      <c r="G23" s="67" t="s">
        <v>49</v>
      </c>
      <c r="H23" s="67" t="s">
        <v>49</v>
      </c>
      <c r="I23" s="67" t="s">
        <v>49</v>
      </c>
      <c r="J23" s="67" t="s">
        <v>49</v>
      </c>
      <c r="K23" s="67" t="s">
        <v>49</v>
      </c>
      <c r="L23" s="67" t="s">
        <v>49</v>
      </c>
      <c r="M23" s="67" t="s">
        <v>49</v>
      </c>
      <c r="N23" s="67" t="s">
        <v>49</v>
      </c>
      <c r="O23" s="67" t="s">
        <v>49</v>
      </c>
      <c r="P23" s="67" t="s">
        <v>49</v>
      </c>
      <c r="Q23" s="68" t="str">
        <f>IF(SUM(COUNTIF($G23:$P23,"High")*$C$12+COUNTIF($G23:$P23,"Medium")*$C$13+COUNTIF($G23:$P23,"Low")*$C$14)/10&gt;=2,"Y","N")</f>
        <v>N</v>
      </c>
      <c r="R23" s="217" t="s">
        <v>325</v>
      </c>
      <c r="S23" s="68" t="str">
        <f>IF(COUNTIF($F23:$Q23,"Y")&gt;0,"Y","N")</f>
        <v>N</v>
      </c>
      <c r="U23" s="73"/>
      <c r="V23" s="229"/>
      <c r="W23" s="229"/>
      <c r="X23" s="73"/>
      <c r="Y23" s="229"/>
      <c r="Z23" s="73"/>
    </row>
    <row r="24" spans="2:26" ht="34.5" x14ac:dyDescent="0.25">
      <c r="B24" s="53" t="s">
        <v>512</v>
      </c>
      <c r="C24" s="77"/>
      <c r="D24" s="62"/>
      <c r="E24" s="62"/>
      <c r="F24" s="64"/>
      <c r="G24" s="67" t="s">
        <v>49</v>
      </c>
      <c r="H24" s="67" t="s">
        <v>49</v>
      </c>
      <c r="I24" s="67" t="s">
        <v>49</v>
      </c>
      <c r="J24" s="67" t="s">
        <v>49</v>
      </c>
      <c r="K24" s="67" t="s">
        <v>49</v>
      </c>
      <c r="L24" s="67" t="s">
        <v>49</v>
      </c>
      <c r="M24" s="67" t="s">
        <v>49</v>
      </c>
      <c r="N24" s="67" t="s">
        <v>49</v>
      </c>
      <c r="O24" s="67" t="s">
        <v>49</v>
      </c>
      <c r="P24" s="67" t="s">
        <v>49</v>
      </c>
      <c r="Q24" s="68" t="str">
        <f>IF(SUM(COUNTIF($G24:$P24,"High")*$C$12+COUNTIF($G24:$P24,"Medium")*$C$13+COUNTIF($G24:$P24,"Low")*$C$14)/10&gt;=2,"Y","N")</f>
        <v>N</v>
      </c>
      <c r="R24" s="217" t="s">
        <v>325</v>
      </c>
      <c r="S24" s="68" t="str">
        <f>IF(COUNTIF($F24:$Q24,"Y")&gt;0,"Y","N")</f>
        <v>N</v>
      </c>
      <c r="U24" s="73"/>
      <c r="V24" s="229"/>
      <c r="W24" s="229"/>
      <c r="X24" s="73"/>
      <c r="Y24" s="229"/>
      <c r="Z24" s="73"/>
    </row>
    <row r="25" spans="2:26" ht="34.5" x14ac:dyDescent="0.25">
      <c r="B25" s="53" t="s">
        <v>513</v>
      </c>
      <c r="C25" s="77"/>
      <c r="D25" s="62" t="e">
        <f>'2.1 유의한 계정과목(BS)'!#REF!</f>
        <v>#REF!</v>
      </c>
      <c r="E25" s="62" t="e">
        <f>'2.1 유의한 계정과목(BS)'!#REF!</f>
        <v>#REF!</v>
      </c>
      <c r="F25" s="64"/>
      <c r="G25" s="67" t="s">
        <v>49</v>
      </c>
      <c r="H25" s="67" t="s">
        <v>49</v>
      </c>
      <c r="I25" s="67" t="s">
        <v>49</v>
      </c>
      <c r="J25" s="67" t="s">
        <v>49</v>
      </c>
      <c r="K25" s="67" t="s">
        <v>49</v>
      </c>
      <c r="L25" s="67" t="s">
        <v>49</v>
      </c>
      <c r="M25" s="67" t="s">
        <v>49</v>
      </c>
      <c r="N25" s="67" t="s">
        <v>49</v>
      </c>
      <c r="O25" s="67" t="s">
        <v>49</v>
      </c>
      <c r="P25" s="67" t="s">
        <v>49</v>
      </c>
      <c r="Q25" s="68" t="str">
        <f t="shared" si="0"/>
        <v>N</v>
      </c>
      <c r="R25" s="217" t="s">
        <v>325</v>
      </c>
      <c r="S25" s="68" t="str">
        <f t="shared" si="1"/>
        <v>N</v>
      </c>
      <c r="U25" s="73"/>
      <c r="V25" s="229"/>
      <c r="W25" s="229"/>
      <c r="X25" s="229"/>
      <c r="Y25" s="229"/>
      <c r="Z25" s="73"/>
    </row>
    <row r="26" spans="2:26" ht="34.5" x14ac:dyDescent="0.25">
      <c r="B26" s="53" t="s">
        <v>514</v>
      </c>
      <c r="C26" s="77"/>
      <c r="D26" s="62"/>
      <c r="E26" s="62"/>
      <c r="F26" s="64"/>
      <c r="G26" s="67" t="s">
        <v>49</v>
      </c>
      <c r="H26" s="67" t="s">
        <v>49</v>
      </c>
      <c r="I26" s="67" t="s">
        <v>49</v>
      </c>
      <c r="J26" s="67" t="s">
        <v>49</v>
      </c>
      <c r="K26" s="67" t="s">
        <v>49</v>
      </c>
      <c r="L26" s="67" t="s">
        <v>49</v>
      </c>
      <c r="M26" s="67" t="s">
        <v>49</v>
      </c>
      <c r="N26" s="67" t="s">
        <v>49</v>
      </c>
      <c r="O26" s="67" t="s">
        <v>49</v>
      </c>
      <c r="P26" s="67" t="s">
        <v>49</v>
      </c>
      <c r="Q26" s="68" t="str">
        <f>IF(SUM(COUNTIF($G26:$P26,"High")*$C$12+COUNTIF($G26:$P26,"Medium")*$C$13+COUNTIF($G26:$P26,"Low")*$C$14)/10&gt;=2,"Y","N")</f>
        <v>N</v>
      </c>
      <c r="R26" s="217" t="s">
        <v>325</v>
      </c>
      <c r="S26" s="68" t="str">
        <f>IF(COUNTIF($F26:$Q26,"Y")&gt;0,"Y","N")</f>
        <v>N</v>
      </c>
      <c r="U26" s="73"/>
      <c r="V26" s="229"/>
      <c r="W26" s="229"/>
      <c r="X26" s="229"/>
      <c r="Y26" s="229"/>
      <c r="Z26" s="73"/>
    </row>
    <row r="27" spans="2:26" ht="34.5" x14ac:dyDescent="0.25">
      <c r="B27" s="53" t="s">
        <v>515</v>
      </c>
      <c r="C27" s="77"/>
      <c r="D27" s="62" t="e">
        <f>SUM('2.1 유의한 계정과목(BS)'!#REF!)</f>
        <v>#REF!</v>
      </c>
      <c r="E27" s="62" t="e">
        <f>SUM('2.1 유의한 계정과목(BS)'!#REF!)</f>
        <v>#REF!</v>
      </c>
      <c r="F27" s="64"/>
      <c r="G27" s="67" t="s">
        <v>49</v>
      </c>
      <c r="H27" s="67" t="s">
        <v>49</v>
      </c>
      <c r="I27" s="67" t="s">
        <v>49</v>
      </c>
      <c r="J27" s="67" t="s">
        <v>49</v>
      </c>
      <c r="K27" s="67" t="s">
        <v>49</v>
      </c>
      <c r="L27" s="67" t="s">
        <v>49</v>
      </c>
      <c r="M27" s="67" t="s">
        <v>49</v>
      </c>
      <c r="N27" s="67" t="s">
        <v>49</v>
      </c>
      <c r="O27" s="67" t="s">
        <v>49</v>
      </c>
      <c r="P27" s="67" t="s">
        <v>49</v>
      </c>
      <c r="Q27" s="68" t="str">
        <f t="shared" si="0"/>
        <v>N</v>
      </c>
      <c r="R27" s="217" t="s">
        <v>325</v>
      </c>
      <c r="S27" s="68" t="str">
        <f t="shared" si="1"/>
        <v>N</v>
      </c>
      <c r="U27" s="73"/>
      <c r="V27" s="229"/>
      <c r="W27" s="229"/>
      <c r="X27" s="229"/>
      <c r="Y27" s="229"/>
      <c r="Z27" s="73"/>
    </row>
    <row r="28" spans="2:26" ht="34.5" x14ac:dyDescent="0.25">
      <c r="B28" s="219" t="s">
        <v>516</v>
      </c>
      <c r="C28" s="77"/>
      <c r="D28" s="62"/>
      <c r="E28" s="62"/>
      <c r="F28" s="64"/>
      <c r="G28" s="67" t="s">
        <v>49</v>
      </c>
      <c r="H28" s="67" t="s">
        <v>49</v>
      </c>
      <c r="I28" s="67" t="s">
        <v>49</v>
      </c>
      <c r="J28" s="67" t="s">
        <v>49</v>
      </c>
      <c r="K28" s="67" t="s">
        <v>49</v>
      </c>
      <c r="L28" s="67" t="s">
        <v>49</v>
      </c>
      <c r="M28" s="67" t="s">
        <v>49</v>
      </c>
      <c r="N28" s="67" t="s">
        <v>49</v>
      </c>
      <c r="O28" s="67" t="s">
        <v>49</v>
      </c>
      <c r="P28" s="67" t="s">
        <v>49</v>
      </c>
      <c r="Q28" s="68" t="str">
        <f t="shared" ref="Q28:Q32" si="2">IF(SUM(COUNTIF($G28:$P28,"High")*$C$12+COUNTIF($G28:$P28,"Medium")*$C$13+COUNTIF($G28:$P28,"Low")*$C$14)/10&gt;=2,"Y","N")</f>
        <v>N</v>
      </c>
      <c r="R28" s="217" t="s">
        <v>325</v>
      </c>
      <c r="S28" s="68" t="str">
        <f t="shared" ref="S28" si="3">IF(COUNTIF($F28:$Q28,"Y")&gt;0,"Y","N")</f>
        <v>N</v>
      </c>
      <c r="U28" s="73"/>
      <c r="V28" s="229"/>
      <c r="W28" s="229"/>
      <c r="X28" s="229"/>
      <c r="Y28" s="229"/>
      <c r="Z28" s="73"/>
    </row>
    <row r="29" spans="2:26" ht="52.75" customHeight="1" x14ac:dyDescent="0.25">
      <c r="B29" s="219" t="s">
        <v>517</v>
      </c>
      <c r="C29" s="77"/>
      <c r="D29" s="62">
        <f>'2.2 유의한 계정과목(PL)'!C68</f>
        <v>404133090</v>
      </c>
      <c r="E29" s="62">
        <f>'2.2 유의한 계정과목(PL)'!D68</f>
        <v>268553004</v>
      </c>
      <c r="F29" s="64"/>
      <c r="G29" s="67" t="s">
        <v>50</v>
      </c>
      <c r="H29" s="67" t="s">
        <v>55</v>
      </c>
      <c r="I29" s="67" t="s">
        <v>50</v>
      </c>
      <c r="J29" s="67" t="s">
        <v>49</v>
      </c>
      <c r="K29" s="67" t="s">
        <v>49</v>
      </c>
      <c r="L29" s="67" t="s">
        <v>50</v>
      </c>
      <c r="M29" s="67" t="s">
        <v>49</v>
      </c>
      <c r="N29" s="67" t="s">
        <v>49</v>
      </c>
      <c r="O29" s="67" t="s">
        <v>55</v>
      </c>
      <c r="P29" s="67" t="s">
        <v>55</v>
      </c>
      <c r="Q29" s="68" t="str">
        <f t="shared" si="2"/>
        <v>N</v>
      </c>
      <c r="R29" s="217" t="s">
        <v>844</v>
      </c>
      <c r="S29" s="68" t="str">
        <f>IF(COUNTIF($F29:$Q29,"Y")&gt;0,"Y","N")</f>
        <v>N</v>
      </c>
      <c r="U29" s="73"/>
      <c r="V29" s="229"/>
      <c r="W29" s="229"/>
      <c r="X29" s="229"/>
      <c r="Y29" s="229"/>
      <c r="Z29" s="73"/>
    </row>
    <row r="30" spans="2:26" ht="46" x14ac:dyDescent="0.25">
      <c r="B30" s="219" t="s">
        <v>518</v>
      </c>
      <c r="C30" s="77"/>
      <c r="D30" s="62"/>
      <c r="E30" s="62"/>
      <c r="F30" s="64"/>
      <c r="G30" s="67" t="s">
        <v>50</v>
      </c>
      <c r="H30" s="67" t="s">
        <v>55</v>
      </c>
      <c r="I30" s="67" t="s">
        <v>50</v>
      </c>
      <c r="J30" s="67" t="s">
        <v>49</v>
      </c>
      <c r="K30" s="67" t="s">
        <v>49</v>
      </c>
      <c r="L30" s="67" t="s">
        <v>50</v>
      </c>
      <c r="M30" s="67" t="s">
        <v>49</v>
      </c>
      <c r="N30" s="67" t="s">
        <v>49</v>
      </c>
      <c r="O30" s="67" t="s">
        <v>55</v>
      </c>
      <c r="P30" s="67" t="s">
        <v>55</v>
      </c>
      <c r="Q30" s="68" t="str">
        <f t="shared" si="2"/>
        <v>N</v>
      </c>
      <c r="R30" s="217" t="s">
        <v>845</v>
      </c>
      <c r="S30" s="68" t="str">
        <f>IF(COUNTIF($F30:$Q30,"Y")&gt;0,"Y","N")</f>
        <v>N</v>
      </c>
      <c r="U30" s="73"/>
      <c r="V30" s="229"/>
      <c r="W30" s="229"/>
      <c r="X30" s="229"/>
      <c r="Y30" s="229"/>
      <c r="Z30" s="73"/>
    </row>
    <row r="31" spans="2:26" ht="49.5" customHeight="1" x14ac:dyDescent="0.25">
      <c r="B31" s="219" t="s">
        <v>519</v>
      </c>
      <c r="C31" s="77"/>
      <c r="D31" s="62">
        <f>5005866000+1227635000</f>
        <v>6233501000</v>
      </c>
      <c r="E31" s="62">
        <f>9819044000+1175465000</f>
        <v>10994509000</v>
      </c>
      <c r="F31" s="64"/>
      <c r="G31" s="67" t="s">
        <v>50</v>
      </c>
      <c r="H31" s="67" t="s">
        <v>55</v>
      </c>
      <c r="I31" s="67" t="s">
        <v>50</v>
      </c>
      <c r="J31" s="67" t="s">
        <v>49</v>
      </c>
      <c r="K31" s="67" t="s">
        <v>49</v>
      </c>
      <c r="L31" s="67" t="s">
        <v>49</v>
      </c>
      <c r="M31" s="67" t="s">
        <v>49</v>
      </c>
      <c r="N31" s="67" t="s">
        <v>50</v>
      </c>
      <c r="O31" s="67" t="s">
        <v>55</v>
      </c>
      <c r="P31" s="67" t="s">
        <v>49</v>
      </c>
      <c r="Q31" s="68" t="str">
        <f t="shared" si="0"/>
        <v>N</v>
      </c>
      <c r="R31" s="217" t="s">
        <v>846</v>
      </c>
      <c r="S31" s="68" t="str">
        <f>IF(COUNTIF($F31:$Q31,"Y")&gt;0,"Y","N")</f>
        <v>N</v>
      </c>
      <c r="U31" s="73"/>
      <c r="V31" s="229"/>
      <c r="W31" s="229"/>
      <c r="X31" s="229"/>
      <c r="Y31" s="229"/>
      <c r="Z31" s="73"/>
    </row>
    <row r="32" spans="2:26" ht="23" x14ac:dyDescent="0.25">
      <c r="B32" s="219" t="s">
        <v>520</v>
      </c>
      <c r="C32" s="77"/>
      <c r="D32" s="62">
        <v>10000000000</v>
      </c>
      <c r="E32" s="62">
        <v>10000000000</v>
      </c>
      <c r="F32" s="64"/>
      <c r="G32" s="67" t="s">
        <v>50</v>
      </c>
      <c r="H32" s="67" t="s">
        <v>55</v>
      </c>
      <c r="I32" s="67" t="s">
        <v>50</v>
      </c>
      <c r="J32" s="67" t="s">
        <v>49</v>
      </c>
      <c r="K32" s="67" t="s">
        <v>49</v>
      </c>
      <c r="L32" s="67" t="s">
        <v>50</v>
      </c>
      <c r="M32" s="67" t="s">
        <v>49</v>
      </c>
      <c r="N32" s="67" t="s">
        <v>50</v>
      </c>
      <c r="O32" s="67" t="s">
        <v>55</v>
      </c>
      <c r="P32" s="67" t="s">
        <v>49</v>
      </c>
      <c r="Q32" s="68" t="str">
        <f t="shared" si="2"/>
        <v>Y</v>
      </c>
      <c r="R32" s="217" t="s">
        <v>478</v>
      </c>
      <c r="S32" s="68" t="s">
        <v>318</v>
      </c>
      <c r="U32" s="73"/>
      <c r="V32" s="229"/>
      <c r="W32" s="229"/>
      <c r="X32" s="229"/>
      <c r="Y32" s="229"/>
      <c r="Z32" s="73"/>
    </row>
    <row r="33" spans="2:26" ht="34.5" x14ac:dyDescent="0.25">
      <c r="B33" s="219" t="s">
        <v>521</v>
      </c>
      <c r="C33" s="77"/>
      <c r="D33" s="62"/>
      <c r="E33" s="62"/>
      <c r="F33" s="64"/>
      <c r="G33" s="67" t="s">
        <v>49</v>
      </c>
      <c r="H33" s="67" t="s">
        <v>49</v>
      </c>
      <c r="I33" s="67" t="s">
        <v>49</v>
      </c>
      <c r="J33" s="67" t="s">
        <v>49</v>
      </c>
      <c r="K33" s="67" t="s">
        <v>49</v>
      </c>
      <c r="L33" s="67" t="s">
        <v>49</v>
      </c>
      <c r="M33" s="67" t="s">
        <v>49</v>
      </c>
      <c r="N33" s="67" t="s">
        <v>49</v>
      </c>
      <c r="O33" s="67" t="s">
        <v>49</v>
      </c>
      <c r="P33" s="67" t="s">
        <v>49</v>
      </c>
      <c r="Q33" s="68" t="str">
        <f t="shared" si="0"/>
        <v>N</v>
      </c>
      <c r="R33" s="217" t="s">
        <v>325</v>
      </c>
      <c r="S33" s="68" t="str">
        <f t="shared" si="1"/>
        <v>N</v>
      </c>
      <c r="U33" s="73"/>
      <c r="V33" s="229"/>
      <c r="W33" s="229"/>
      <c r="X33" s="229"/>
      <c r="Y33" s="229"/>
      <c r="Z33" s="73"/>
    </row>
    <row r="34" spans="2:26" ht="34.5" x14ac:dyDescent="0.25">
      <c r="B34" s="219" t="s">
        <v>522</v>
      </c>
      <c r="C34" s="77"/>
      <c r="D34" s="62"/>
      <c r="E34" s="62"/>
      <c r="F34" s="64"/>
      <c r="G34" s="67" t="s">
        <v>49</v>
      </c>
      <c r="H34" s="67" t="s">
        <v>49</v>
      </c>
      <c r="I34" s="67" t="s">
        <v>49</v>
      </c>
      <c r="J34" s="67" t="s">
        <v>49</v>
      </c>
      <c r="K34" s="67" t="s">
        <v>49</v>
      </c>
      <c r="L34" s="67" t="s">
        <v>49</v>
      </c>
      <c r="M34" s="67" t="s">
        <v>49</v>
      </c>
      <c r="N34" s="67" t="s">
        <v>49</v>
      </c>
      <c r="O34" s="67" t="s">
        <v>49</v>
      </c>
      <c r="P34" s="67" t="s">
        <v>49</v>
      </c>
      <c r="Q34" s="68" t="str">
        <f t="shared" si="0"/>
        <v>N</v>
      </c>
      <c r="R34" s="217" t="s">
        <v>325</v>
      </c>
      <c r="S34" s="68" t="str">
        <f t="shared" si="1"/>
        <v>N</v>
      </c>
      <c r="U34" s="73"/>
      <c r="V34" s="229"/>
      <c r="W34" s="229"/>
      <c r="X34" s="229"/>
      <c r="Y34" s="229"/>
      <c r="Z34" s="73"/>
    </row>
    <row r="35" spans="2:26" ht="27" customHeight="1" x14ac:dyDescent="0.25">
      <c r="B35" s="53" t="s">
        <v>523</v>
      </c>
      <c r="C35" s="77"/>
      <c r="D35" s="62">
        <f>'2.1 유의한 계정과목(BS)'!C48</f>
        <v>-71399000</v>
      </c>
      <c r="E35" s="62">
        <f>'2.1 유의한 계정과목(BS)'!D48</f>
        <v>-71399000</v>
      </c>
      <c r="F35" s="64"/>
      <c r="G35" s="67" t="s">
        <v>50</v>
      </c>
      <c r="H35" s="67" t="s">
        <v>55</v>
      </c>
      <c r="I35" s="67" t="s">
        <v>50</v>
      </c>
      <c r="J35" s="67" t="s">
        <v>49</v>
      </c>
      <c r="K35" s="67" t="s">
        <v>49</v>
      </c>
      <c r="L35" s="67" t="s">
        <v>50</v>
      </c>
      <c r="M35" s="67" t="s">
        <v>49</v>
      </c>
      <c r="N35" s="67" t="s">
        <v>50</v>
      </c>
      <c r="O35" s="67" t="s">
        <v>49</v>
      </c>
      <c r="P35" s="67" t="s">
        <v>49</v>
      </c>
      <c r="Q35" s="68" t="str">
        <f>IF(SUM(COUNTIF($G35:$P35,"High")*$C$12+COUNTIF($G35:$P35,"Medium")*$C$13+COUNTIF($G35:$P35,"Low")*$C$14)/10&gt;=2,"Y","N")</f>
        <v>N</v>
      </c>
      <c r="R35" s="217" t="s">
        <v>847</v>
      </c>
      <c r="S35" s="68" t="str">
        <f>IF(COUNTIF($F35:$Q35,"Y")&gt;0,"Y","N")</f>
        <v>N</v>
      </c>
      <c r="U35" s="73"/>
      <c r="V35" s="229"/>
      <c r="W35" s="229"/>
      <c r="X35" s="229"/>
      <c r="Y35" s="229"/>
      <c r="Z35" s="73"/>
    </row>
    <row r="36" spans="2:26" ht="34.5" x14ac:dyDescent="0.25">
      <c r="B36" s="53" t="s">
        <v>524</v>
      </c>
      <c r="C36" s="77"/>
      <c r="D36" s="62">
        <f>'2.1 유의한 계정과목(BS)'!C49</f>
        <v>472489866</v>
      </c>
      <c r="E36" s="62">
        <f>'2.1 유의한 계정과목(BS)'!D49</f>
        <v>372165127</v>
      </c>
      <c r="F36" s="64"/>
      <c r="G36" s="67" t="s">
        <v>49</v>
      </c>
      <c r="H36" s="67" t="s">
        <v>49</v>
      </c>
      <c r="I36" s="67" t="s">
        <v>49</v>
      </c>
      <c r="J36" s="67" t="s">
        <v>49</v>
      </c>
      <c r="K36" s="67" t="s">
        <v>49</v>
      </c>
      <c r="L36" s="67" t="s">
        <v>49</v>
      </c>
      <c r="M36" s="67" t="s">
        <v>49</v>
      </c>
      <c r="N36" s="67" t="s">
        <v>49</v>
      </c>
      <c r="O36" s="67" t="s">
        <v>49</v>
      </c>
      <c r="P36" s="67" t="s">
        <v>49</v>
      </c>
      <c r="Q36" s="68" t="str">
        <f t="shared" si="0"/>
        <v>N</v>
      </c>
      <c r="R36" s="217" t="s">
        <v>325</v>
      </c>
      <c r="S36" s="68" t="str">
        <f>IF(COUNTIF($F36:$Q36,"Y")&gt;0,"Y","N")</f>
        <v>N</v>
      </c>
      <c r="U36" s="73"/>
      <c r="V36" s="229"/>
      <c r="W36" s="229"/>
      <c r="X36" s="229"/>
      <c r="Y36" s="229"/>
      <c r="Z36" s="73"/>
    </row>
    <row r="37" spans="2:26" ht="34.5" x14ac:dyDescent="0.25">
      <c r="B37" s="53" t="s">
        <v>525</v>
      </c>
      <c r="C37" s="77"/>
      <c r="D37" s="62" t="str">
        <f>'2.1 유의한 계정과목(BS)'!C17</f>
        <v>FY2022</v>
      </c>
      <c r="E37" s="62" t="str">
        <f>'2.1 유의한 계정과목(BS)'!D17</f>
        <v>FY2021</v>
      </c>
      <c r="F37" s="64"/>
      <c r="G37" s="67" t="s">
        <v>49</v>
      </c>
      <c r="H37" s="67" t="s">
        <v>49</v>
      </c>
      <c r="I37" s="67" t="s">
        <v>49</v>
      </c>
      <c r="J37" s="67" t="s">
        <v>49</v>
      </c>
      <c r="K37" s="67" t="s">
        <v>49</v>
      </c>
      <c r="L37" s="67" t="s">
        <v>49</v>
      </c>
      <c r="M37" s="67" t="s">
        <v>49</v>
      </c>
      <c r="N37" s="67" t="s">
        <v>49</v>
      </c>
      <c r="O37" s="67" t="s">
        <v>49</v>
      </c>
      <c r="P37" s="67" t="s">
        <v>49</v>
      </c>
      <c r="Q37" s="68" t="str">
        <f t="shared" si="0"/>
        <v>N</v>
      </c>
      <c r="R37" s="217" t="s">
        <v>325</v>
      </c>
      <c r="S37" s="68" t="str">
        <f t="shared" si="1"/>
        <v>N</v>
      </c>
      <c r="U37" s="73"/>
      <c r="V37" s="229"/>
      <c r="W37" s="229"/>
      <c r="X37" s="229"/>
      <c r="Y37" s="229"/>
      <c r="Z37" s="73"/>
    </row>
    <row r="38" spans="2:26" ht="34.5" x14ac:dyDescent="0.25">
      <c r="B38" s="53" t="s">
        <v>526</v>
      </c>
      <c r="C38" s="77"/>
      <c r="D38" s="62"/>
      <c r="E38" s="62"/>
      <c r="F38" s="64"/>
      <c r="G38" s="67" t="s">
        <v>49</v>
      </c>
      <c r="H38" s="67" t="s">
        <v>49</v>
      </c>
      <c r="I38" s="67" t="s">
        <v>49</v>
      </c>
      <c r="J38" s="67" t="s">
        <v>49</v>
      </c>
      <c r="K38" s="67" t="s">
        <v>49</v>
      </c>
      <c r="L38" s="67" t="s">
        <v>49</v>
      </c>
      <c r="M38" s="67" t="s">
        <v>49</v>
      </c>
      <c r="N38" s="67" t="s">
        <v>49</v>
      </c>
      <c r="O38" s="67" t="s">
        <v>49</v>
      </c>
      <c r="P38" s="67" t="s">
        <v>49</v>
      </c>
      <c r="Q38" s="68" t="str">
        <f t="shared" si="0"/>
        <v>N</v>
      </c>
      <c r="R38" s="217" t="s">
        <v>325</v>
      </c>
      <c r="S38" s="68" t="str">
        <f t="shared" si="1"/>
        <v>N</v>
      </c>
      <c r="U38" s="73"/>
      <c r="V38" s="229"/>
      <c r="W38" s="229"/>
      <c r="X38" s="229"/>
      <c r="Y38" s="229"/>
      <c r="Z38" s="73"/>
    </row>
    <row r="39" spans="2:26" ht="34.5" x14ac:dyDescent="0.25">
      <c r="B39" s="53" t="s">
        <v>527</v>
      </c>
      <c r="C39" s="77"/>
      <c r="D39" s="62"/>
      <c r="E39" s="62"/>
      <c r="F39" s="64"/>
      <c r="G39" s="67" t="s">
        <v>49</v>
      </c>
      <c r="H39" s="67" t="s">
        <v>49</v>
      </c>
      <c r="I39" s="67" t="s">
        <v>49</v>
      </c>
      <c r="J39" s="67" t="s">
        <v>49</v>
      </c>
      <c r="K39" s="67" t="s">
        <v>49</v>
      </c>
      <c r="L39" s="67" t="s">
        <v>49</v>
      </c>
      <c r="M39" s="67" t="s">
        <v>49</v>
      </c>
      <c r="N39" s="67" t="s">
        <v>49</v>
      </c>
      <c r="O39" s="67" t="s">
        <v>49</v>
      </c>
      <c r="P39" s="67" t="s">
        <v>49</v>
      </c>
      <c r="Q39" s="68" t="str">
        <f t="shared" si="0"/>
        <v>N</v>
      </c>
      <c r="R39" s="217" t="s">
        <v>325</v>
      </c>
      <c r="S39" s="68" t="str">
        <f t="shared" si="1"/>
        <v>N</v>
      </c>
      <c r="U39" s="73"/>
      <c r="V39" s="229"/>
      <c r="W39" s="229"/>
      <c r="X39" s="229"/>
      <c r="Y39" s="229"/>
      <c r="Z39" s="73"/>
    </row>
    <row r="40" spans="2:26" ht="34.5" x14ac:dyDescent="0.25">
      <c r="B40" s="53" t="s">
        <v>528</v>
      </c>
      <c r="C40" s="77"/>
      <c r="D40" s="62"/>
      <c r="E40" s="62"/>
      <c r="F40" s="64"/>
      <c r="G40" s="67" t="s">
        <v>49</v>
      </c>
      <c r="H40" s="67" t="s">
        <v>49</v>
      </c>
      <c r="I40" s="67" t="s">
        <v>49</v>
      </c>
      <c r="J40" s="67" t="s">
        <v>49</v>
      </c>
      <c r="K40" s="67" t="s">
        <v>49</v>
      </c>
      <c r="L40" s="67" t="s">
        <v>49</v>
      </c>
      <c r="M40" s="67" t="s">
        <v>49</v>
      </c>
      <c r="N40" s="67" t="s">
        <v>49</v>
      </c>
      <c r="O40" s="67" t="s">
        <v>49</v>
      </c>
      <c r="P40" s="67" t="s">
        <v>49</v>
      </c>
      <c r="Q40" s="68" t="str">
        <f t="shared" si="0"/>
        <v>N</v>
      </c>
      <c r="R40" s="217" t="s">
        <v>325</v>
      </c>
      <c r="S40" s="68" t="str">
        <f t="shared" si="1"/>
        <v>N</v>
      </c>
      <c r="U40" s="73"/>
      <c r="V40" s="229"/>
      <c r="W40" s="229"/>
      <c r="X40" s="229"/>
      <c r="Y40" s="229"/>
      <c r="Z40" s="73"/>
    </row>
    <row r="41" spans="2:26" ht="34.5" x14ac:dyDescent="0.25">
      <c r="B41" s="53" t="s">
        <v>529</v>
      </c>
      <c r="C41" s="77"/>
      <c r="D41" s="62"/>
      <c r="E41" s="62"/>
      <c r="F41" s="64"/>
      <c r="G41" s="67" t="s">
        <v>49</v>
      </c>
      <c r="H41" s="67" t="s">
        <v>49</v>
      </c>
      <c r="I41" s="67" t="s">
        <v>49</v>
      </c>
      <c r="J41" s="67" t="s">
        <v>49</v>
      </c>
      <c r="K41" s="67" t="s">
        <v>49</v>
      </c>
      <c r="L41" s="67" t="s">
        <v>49</v>
      </c>
      <c r="M41" s="67" t="s">
        <v>49</v>
      </c>
      <c r="N41" s="67" t="s">
        <v>49</v>
      </c>
      <c r="O41" s="67" t="s">
        <v>49</v>
      </c>
      <c r="P41" s="67" t="s">
        <v>49</v>
      </c>
      <c r="Q41" s="68" t="str">
        <f t="shared" si="0"/>
        <v>N</v>
      </c>
      <c r="R41" s="217" t="s">
        <v>325</v>
      </c>
      <c r="S41" s="68" t="str">
        <f t="shared" si="1"/>
        <v>N</v>
      </c>
      <c r="U41" s="73"/>
      <c r="V41" s="229"/>
      <c r="W41" s="229"/>
      <c r="X41" s="229"/>
      <c r="Y41" s="229"/>
      <c r="Z41" s="73"/>
    </row>
    <row r="42" spans="2:26" ht="34.5" x14ac:dyDescent="0.25">
      <c r="B42" s="53" t="s">
        <v>530</v>
      </c>
      <c r="C42" s="77"/>
      <c r="D42" s="62"/>
      <c r="E42" s="62"/>
      <c r="F42" s="64"/>
      <c r="G42" s="67" t="s">
        <v>49</v>
      </c>
      <c r="H42" s="67" t="s">
        <v>49</v>
      </c>
      <c r="I42" s="67" t="s">
        <v>49</v>
      </c>
      <c r="J42" s="67" t="s">
        <v>49</v>
      </c>
      <c r="K42" s="67" t="s">
        <v>49</v>
      </c>
      <c r="L42" s="67" t="s">
        <v>49</v>
      </c>
      <c r="M42" s="67" t="s">
        <v>49</v>
      </c>
      <c r="N42" s="67" t="s">
        <v>49</v>
      </c>
      <c r="O42" s="67" t="s">
        <v>49</v>
      </c>
      <c r="P42" s="67" t="s">
        <v>49</v>
      </c>
      <c r="Q42" s="68" t="str">
        <f t="shared" si="0"/>
        <v>N</v>
      </c>
      <c r="R42" s="217" t="s">
        <v>325</v>
      </c>
      <c r="S42" s="68" t="str">
        <f t="shared" si="1"/>
        <v>N</v>
      </c>
      <c r="U42" s="73"/>
      <c r="V42" s="229"/>
      <c r="W42" s="229"/>
      <c r="X42" s="229"/>
      <c r="Y42" s="229"/>
      <c r="Z42" s="73"/>
    </row>
    <row r="43" spans="2:26" ht="34.5" x14ac:dyDescent="0.25">
      <c r="B43" s="53" t="s">
        <v>531</v>
      </c>
      <c r="C43" s="77"/>
      <c r="D43" s="62"/>
      <c r="E43" s="62"/>
      <c r="F43" s="64"/>
      <c r="G43" s="67" t="s">
        <v>49</v>
      </c>
      <c r="H43" s="67" t="s">
        <v>49</v>
      </c>
      <c r="I43" s="67" t="s">
        <v>49</v>
      </c>
      <c r="J43" s="67" t="s">
        <v>49</v>
      </c>
      <c r="K43" s="67" t="s">
        <v>49</v>
      </c>
      <c r="L43" s="67" t="s">
        <v>49</v>
      </c>
      <c r="M43" s="67" t="s">
        <v>49</v>
      </c>
      <c r="N43" s="67" t="s">
        <v>49</v>
      </c>
      <c r="O43" s="67" t="s">
        <v>49</v>
      </c>
      <c r="P43" s="67" t="s">
        <v>49</v>
      </c>
      <c r="Q43" s="68" t="str">
        <f t="shared" si="0"/>
        <v>N</v>
      </c>
      <c r="R43" s="217" t="s">
        <v>325</v>
      </c>
      <c r="S43" s="68" t="str">
        <f t="shared" si="1"/>
        <v>N</v>
      </c>
      <c r="U43" s="73"/>
      <c r="V43" s="229"/>
      <c r="W43" s="229"/>
      <c r="X43" s="229"/>
      <c r="Y43" s="229"/>
      <c r="Z43" s="73"/>
    </row>
    <row r="44" spans="2:26" ht="34.5" x14ac:dyDescent="0.25">
      <c r="B44" s="53" t="s">
        <v>532</v>
      </c>
      <c r="C44" s="77"/>
      <c r="D44" s="62"/>
      <c r="E44" s="62"/>
      <c r="F44" s="64"/>
      <c r="G44" s="67" t="s">
        <v>49</v>
      </c>
      <c r="H44" s="67" t="s">
        <v>49</v>
      </c>
      <c r="I44" s="67" t="s">
        <v>49</v>
      </c>
      <c r="J44" s="67" t="s">
        <v>49</v>
      </c>
      <c r="K44" s="67" t="s">
        <v>49</v>
      </c>
      <c r="L44" s="67" t="s">
        <v>49</v>
      </c>
      <c r="M44" s="67" t="s">
        <v>49</v>
      </c>
      <c r="N44" s="67" t="s">
        <v>49</v>
      </c>
      <c r="O44" s="67" t="s">
        <v>49</v>
      </c>
      <c r="P44" s="67" t="s">
        <v>49</v>
      </c>
      <c r="Q44" s="68" t="str">
        <f t="shared" si="0"/>
        <v>N</v>
      </c>
      <c r="R44" s="217" t="s">
        <v>325</v>
      </c>
      <c r="S44" s="68" t="str">
        <f t="shared" si="1"/>
        <v>N</v>
      </c>
      <c r="U44" s="73"/>
      <c r="V44" s="229"/>
      <c r="W44" s="229"/>
      <c r="X44" s="229"/>
      <c r="Y44" s="229"/>
      <c r="Z44" s="73"/>
    </row>
    <row r="45" spans="2:26" ht="34.5" x14ac:dyDescent="0.25">
      <c r="B45" s="53" t="s">
        <v>533</v>
      </c>
      <c r="C45" s="77"/>
      <c r="D45" s="62"/>
      <c r="E45" s="62"/>
      <c r="F45" s="64"/>
      <c r="G45" s="67" t="s">
        <v>49</v>
      </c>
      <c r="H45" s="67" t="s">
        <v>49</v>
      </c>
      <c r="I45" s="67" t="s">
        <v>49</v>
      </c>
      <c r="J45" s="67" t="s">
        <v>49</v>
      </c>
      <c r="K45" s="67" t="s">
        <v>49</v>
      </c>
      <c r="L45" s="67" t="s">
        <v>49</v>
      </c>
      <c r="M45" s="67" t="s">
        <v>49</v>
      </c>
      <c r="N45" s="67" t="s">
        <v>49</v>
      </c>
      <c r="O45" s="67" t="s">
        <v>49</v>
      </c>
      <c r="P45" s="67" t="s">
        <v>49</v>
      </c>
      <c r="Q45" s="68" t="str">
        <f t="shared" si="0"/>
        <v>N</v>
      </c>
      <c r="R45" s="217" t="s">
        <v>325</v>
      </c>
      <c r="S45" s="68" t="str">
        <f t="shared" si="1"/>
        <v>N</v>
      </c>
      <c r="U45" s="73"/>
      <c r="V45" s="229"/>
      <c r="W45" s="229"/>
      <c r="X45" s="229"/>
      <c r="Y45" s="229"/>
      <c r="Z45" s="73"/>
    </row>
    <row r="46" spans="2:26" ht="34.5" x14ac:dyDescent="0.25">
      <c r="B46" s="53" t="s">
        <v>534</v>
      </c>
      <c r="C46" s="77"/>
      <c r="D46" s="62"/>
      <c r="E46" s="62"/>
      <c r="F46" s="64"/>
      <c r="G46" s="67" t="s">
        <v>49</v>
      </c>
      <c r="H46" s="67" t="s">
        <v>49</v>
      </c>
      <c r="I46" s="67" t="s">
        <v>49</v>
      </c>
      <c r="J46" s="67" t="s">
        <v>49</v>
      </c>
      <c r="K46" s="67" t="s">
        <v>49</v>
      </c>
      <c r="L46" s="67" t="s">
        <v>49</v>
      </c>
      <c r="M46" s="67" t="s">
        <v>49</v>
      </c>
      <c r="N46" s="67" t="s">
        <v>49</v>
      </c>
      <c r="O46" s="67" t="s">
        <v>49</v>
      </c>
      <c r="P46" s="67" t="s">
        <v>49</v>
      </c>
      <c r="Q46" s="68" t="str">
        <f t="shared" si="0"/>
        <v>N</v>
      </c>
      <c r="R46" s="217" t="s">
        <v>325</v>
      </c>
      <c r="S46" s="68" t="str">
        <f t="shared" si="1"/>
        <v>N</v>
      </c>
      <c r="U46" s="73"/>
      <c r="V46" s="229"/>
      <c r="W46" s="229"/>
      <c r="X46" s="229"/>
      <c r="Y46" s="229"/>
      <c r="Z46" s="73"/>
    </row>
    <row r="47" spans="2:26" ht="46" x14ac:dyDescent="0.25">
      <c r="B47" s="53" t="s">
        <v>535</v>
      </c>
      <c r="C47" s="77"/>
      <c r="D47" s="62"/>
      <c r="E47" s="62"/>
      <c r="F47" s="64"/>
      <c r="G47" s="67" t="s">
        <v>50</v>
      </c>
      <c r="H47" s="67" t="s">
        <v>50</v>
      </c>
      <c r="I47" s="67" t="s">
        <v>50</v>
      </c>
      <c r="J47" s="67" t="s">
        <v>49</v>
      </c>
      <c r="K47" s="67" t="s">
        <v>49</v>
      </c>
      <c r="L47" s="67" t="s">
        <v>55</v>
      </c>
      <c r="M47" s="67" t="s">
        <v>55</v>
      </c>
      <c r="N47" s="67" t="s">
        <v>49</v>
      </c>
      <c r="O47" s="67" t="s">
        <v>50</v>
      </c>
      <c r="P47" s="67" t="s">
        <v>49</v>
      </c>
      <c r="Q47" s="68" t="str">
        <f t="shared" si="0"/>
        <v>Y</v>
      </c>
      <c r="R47" s="217" t="s">
        <v>326</v>
      </c>
      <c r="S47" s="68" t="str">
        <f t="shared" si="1"/>
        <v>Y</v>
      </c>
      <c r="U47" s="73"/>
      <c r="V47" s="229"/>
      <c r="W47" s="229"/>
      <c r="X47" s="73" t="s">
        <v>72</v>
      </c>
      <c r="Y47" s="229"/>
      <c r="Z47" s="73"/>
    </row>
    <row r="48" spans="2:26" ht="34.5" x14ac:dyDescent="0.25">
      <c r="B48" s="53" t="s">
        <v>536</v>
      </c>
      <c r="C48" s="77"/>
      <c r="D48" s="62"/>
      <c r="E48" s="62"/>
      <c r="F48" s="64"/>
      <c r="G48" s="67" t="s">
        <v>49</v>
      </c>
      <c r="H48" s="67" t="s">
        <v>49</v>
      </c>
      <c r="I48" s="67" t="s">
        <v>49</v>
      </c>
      <c r="J48" s="67" t="s">
        <v>49</v>
      </c>
      <c r="K48" s="67" t="s">
        <v>49</v>
      </c>
      <c r="L48" s="67" t="s">
        <v>49</v>
      </c>
      <c r="M48" s="67" t="s">
        <v>49</v>
      </c>
      <c r="N48" s="67" t="s">
        <v>49</v>
      </c>
      <c r="O48" s="67" t="s">
        <v>49</v>
      </c>
      <c r="P48" s="67" t="s">
        <v>49</v>
      </c>
      <c r="Q48" s="68" t="str">
        <f t="shared" si="0"/>
        <v>N</v>
      </c>
      <c r="R48" s="217" t="s">
        <v>325</v>
      </c>
      <c r="S48" s="68" t="str">
        <f t="shared" si="1"/>
        <v>N</v>
      </c>
      <c r="U48" s="73"/>
      <c r="V48" s="229"/>
      <c r="W48" s="229"/>
      <c r="X48" s="229"/>
      <c r="Y48" s="229"/>
      <c r="Z48" s="73"/>
    </row>
    <row r="49" spans="2:26" ht="34.5" x14ac:dyDescent="0.25">
      <c r="B49" s="53" t="s">
        <v>537</v>
      </c>
      <c r="C49" s="77"/>
      <c r="D49" s="62"/>
      <c r="E49" s="62"/>
      <c r="F49" s="64"/>
      <c r="G49" s="67" t="s">
        <v>49</v>
      </c>
      <c r="H49" s="67" t="s">
        <v>49</v>
      </c>
      <c r="I49" s="67" t="s">
        <v>49</v>
      </c>
      <c r="J49" s="67" t="s">
        <v>49</v>
      </c>
      <c r="K49" s="67" t="s">
        <v>49</v>
      </c>
      <c r="L49" s="67" t="s">
        <v>49</v>
      </c>
      <c r="M49" s="67" t="s">
        <v>49</v>
      </c>
      <c r="N49" s="67" t="s">
        <v>49</v>
      </c>
      <c r="O49" s="67" t="s">
        <v>49</v>
      </c>
      <c r="P49" s="67" t="s">
        <v>49</v>
      </c>
      <c r="Q49" s="68" t="str">
        <f t="shared" si="0"/>
        <v>N</v>
      </c>
      <c r="R49" s="217" t="s">
        <v>325</v>
      </c>
      <c r="S49" s="68" t="str">
        <f t="shared" si="1"/>
        <v>N</v>
      </c>
      <c r="U49" s="73"/>
      <c r="V49" s="229"/>
      <c r="W49" s="229"/>
      <c r="X49" s="229"/>
      <c r="Y49" s="229"/>
      <c r="Z49" s="73"/>
    </row>
    <row r="50" spans="2:26" ht="34.5" x14ac:dyDescent="0.25">
      <c r="B50" s="53" t="s">
        <v>538</v>
      </c>
      <c r="C50" s="77"/>
      <c r="D50" s="62"/>
      <c r="E50" s="62"/>
      <c r="F50" s="64"/>
      <c r="G50" s="67" t="s">
        <v>49</v>
      </c>
      <c r="H50" s="67" t="s">
        <v>49</v>
      </c>
      <c r="I50" s="67" t="s">
        <v>49</v>
      </c>
      <c r="J50" s="67" t="s">
        <v>49</v>
      </c>
      <c r="K50" s="67" t="s">
        <v>49</v>
      </c>
      <c r="L50" s="67" t="s">
        <v>49</v>
      </c>
      <c r="M50" s="67" t="s">
        <v>49</v>
      </c>
      <c r="N50" s="67" t="s">
        <v>49</v>
      </c>
      <c r="O50" s="67" t="s">
        <v>49</v>
      </c>
      <c r="P50" s="67" t="s">
        <v>49</v>
      </c>
      <c r="Q50" s="68" t="str">
        <f t="shared" si="0"/>
        <v>N</v>
      </c>
      <c r="R50" s="217" t="s">
        <v>325</v>
      </c>
      <c r="S50" s="68" t="str">
        <f t="shared" si="1"/>
        <v>N</v>
      </c>
      <c r="U50" s="73"/>
      <c r="V50" s="229"/>
      <c r="W50" s="229"/>
      <c r="X50" s="229"/>
      <c r="Y50" s="229"/>
      <c r="Z50" s="73"/>
    </row>
    <row r="51" spans="2:26" ht="34.5" x14ac:dyDescent="0.25">
      <c r="B51" s="53" t="s">
        <v>539</v>
      </c>
      <c r="C51" s="77"/>
      <c r="D51" s="62"/>
      <c r="E51" s="62"/>
      <c r="F51" s="64"/>
      <c r="G51" s="67" t="s">
        <v>49</v>
      </c>
      <c r="H51" s="67" t="s">
        <v>49</v>
      </c>
      <c r="I51" s="67" t="s">
        <v>49</v>
      </c>
      <c r="J51" s="67" t="s">
        <v>49</v>
      </c>
      <c r="K51" s="67" t="s">
        <v>49</v>
      </c>
      <c r="L51" s="67" t="s">
        <v>49</v>
      </c>
      <c r="M51" s="67" t="s">
        <v>49</v>
      </c>
      <c r="N51" s="67" t="s">
        <v>49</v>
      </c>
      <c r="O51" s="67" t="s">
        <v>49</v>
      </c>
      <c r="P51" s="67" t="s">
        <v>49</v>
      </c>
      <c r="Q51" s="68" t="str">
        <f t="shared" si="0"/>
        <v>N</v>
      </c>
      <c r="R51" s="217" t="s">
        <v>325</v>
      </c>
      <c r="S51" s="68" t="str">
        <f t="shared" si="1"/>
        <v>N</v>
      </c>
      <c r="U51" s="73"/>
      <c r="V51" s="229"/>
      <c r="W51" s="229"/>
      <c r="X51" s="229"/>
      <c r="Y51" s="229"/>
      <c r="Z51" s="73"/>
    </row>
    <row r="52" spans="2:26" ht="34.5" x14ac:dyDescent="0.25">
      <c r="B52" s="53" t="s">
        <v>540</v>
      </c>
      <c r="C52" s="77"/>
      <c r="D52" s="62"/>
      <c r="E52" s="62"/>
      <c r="F52" s="64"/>
      <c r="G52" s="67" t="s">
        <v>50</v>
      </c>
      <c r="H52" s="67" t="s">
        <v>55</v>
      </c>
      <c r="I52" s="67" t="s">
        <v>49</v>
      </c>
      <c r="J52" s="67" t="s">
        <v>49</v>
      </c>
      <c r="K52" s="67" t="s">
        <v>49</v>
      </c>
      <c r="L52" s="67" t="s">
        <v>50</v>
      </c>
      <c r="M52" s="67" t="s">
        <v>49</v>
      </c>
      <c r="N52" s="67" t="s">
        <v>50</v>
      </c>
      <c r="O52" s="67" t="s">
        <v>50</v>
      </c>
      <c r="P52" s="67" t="s">
        <v>55</v>
      </c>
      <c r="Q52" s="68" t="str">
        <f t="shared" si="0"/>
        <v>Y</v>
      </c>
      <c r="R52" s="217" t="s">
        <v>327</v>
      </c>
      <c r="S52" s="68" t="str">
        <f t="shared" si="1"/>
        <v>Y</v>
      </c>
      <c r="U52" s="73"/>
      <c r="V52" s="229"/>
      <c r="W52" s="73" t="s">
        <v>72</v>
      </c>
      <c r="X52" s="73"/>
      <c r="Y52" s="229"/>
      <c r="Z52" s="73"/>
    </row>
    <row r="53" spans="2:26" ht="34.5" x14ac:dyDescent="0.25">
      <c r="B53" s="53" t="s">
        <v>541</v>
      </c>
      <c r="C53" s="77"/>
      <c r="D53" s="62"/>
      <c r="E53" s="62"/>
      <c r="F53" s="64"/>
      <c r="G53" s="67" t="s">
        <v>55</v>
      </c>
      <c r="H53" s="67" t="s">
        <v>55</v>
      </c>
      <c r="I53" s="67" t="s">
        <v>49</v>
      </c>
      <c r="J53" s="67" t="s">
        <v>50</v>
      </c>
      <c r="K53" s="67" t="s">
        <v>50</v>
      </c>
      <c r="L53" s="67" t="s">
        <v>55</v>
      </c>
      <c r="M53" s="67" t="s">
        <v>50</v>
      </c>
      <c r="N53" s="67" t="s">
        <v>49</v>
      </c>
      <c r="O53" s="67" t="s">
        <v>50</v>
      </c>
      <c r="P53" s="67" t="s">
        <v>49</v>
      </c>
      <c r="Q53" s="68" t="str">
        <f t="shared" si="0"/>
        <v>Y</v>
      </c>
      <c r="R53" s="217" t="s">
        <v>848</v>
      </c>
      <c r="S53" s="68" t="str">
        <f t="shared" si="1"/>
        <v>Y</v>
      </c>
      <c r="U53" s="73"/>
      <c r="V53" s="229"/>
      <c r="W53" s="229"/>
      <c r="X53" s="73" t="s">
        <v>72</v>
      </c>
      <c r="Y53" s="229"/>
      <c r="Z53" s="73"/>
    </row>
    <row r="54" spans="2:26" ht="34.5" x14ac:dyDescent="0.25">
      <c r="B54" s="53" t="s">
        <v>542</v>
      </c>
      <c r="C54" s="77"/>
      <c r="D54" s="62"/>
      <c r="E54" s="62"/>
      <c r="F54" s="64"/>
      <c r="G54" s="67" t="s">
        <v>49</v>
      </c>
      <c r="H54" s="67" t="s">
        <v>49</v>
      </c>
      <c r="I54" s="67" t="s">
        <v>49</v>
      </c>
      <c r="J54" s="67" t="s">
        <v>49</v>
      </c>
      <c r="K54" s="67" t="s">
        <v>49</v>
      </c>
      <c r="L54" s="67" t="s">
        <v>49</v>
      </c>
      <c r="M54" s="67" t="s">
        <v>49</v>
      </c>
      <c r="N54" s="67" t="s">
        <v>49</v>
      </c>
      <c r="O54" s="67" t="s">
        <v>49</v>
      </c>
      <c r="P54" s="67" t="s">
        <v>49</v>
      </c>
      <c r="Q54" s="68" t="str">
        <f t="shared" si="0"/>
        <v>N</v>
      </c>
      <c r="R54" s="217" t="s">
        <v>325</v>
      </c>
      <c r="S54" s="68" t="str">
        <f t="shared" si="1"/>
        <v>N</v>
      </c>
      <c r="U54" s="73"/>
      <c r="V54" s="229"/>
      <c r="W54" s="229"/>
      <c r="X54" s="229"/>
      <c r="Y54" s="229"/>
      <c r="Z54" s="73"/>
    </row>
    <row r="55" spans="2:26" ht="34.5" x14ac:dyDescent="0.25">
      <c r="B55" s="53" t="s">
        <v>543</v>
      </c>
      <c r="C55" s="77"/>
      <c r="D55" s="62"/>
      <c r="E55" s="62"/>
      <c r="F55" s="64"/>
      <c r="G55" s="67" t="s">
        <v>50</v>
      </c>
      <c r="H55" s="67" t="s">
        <v>50</v>
      </c>
      <c r="I55" s="67" t="s">
        <v>49</v>
      </c>
      <c r="J55" s="67" t="s">
        <v>50</v>
      </c>
      <c r="K55" s="67" t="s">
        <v>49</v>
      </c>
      <c r="L55" s="67" t="s">
        <v>49</v>
      </c>
      <c r="M55" s="67" t="s">
        <v>50</v>
      </c>
      <c r="N55" s="67" t="s">
        <v>49</v>
      </c>
      <c r="O55" s="67" t="s">
        <v>50</v>
      </c>
      <c r="P55" s="67" t="s">
        <v>49</v>
      </c>
      <c r="Q55" s="68" t="str">
        <f t="shared" si="0"/>
        <v>Y</v>
      </c>
      <c r="R55" s="217" t="s">
        <v>842</v>
      </c>
      <c r="S55" s="68" t="str">
        <f t="shared" si="1"/>
        <v>Y</v>
      </c>
      <c r="U55" s="73"/>
      <c r="V55" s="229"/>
      <c r="W55" s="229"/>
      <c r="X55" s="73" t="s">
        <v>72</v>
      </c>
      <c r="Y55" s="229"/>
      <c r="Z55" s="73"/>
    </row>
    <row r="56" spans="2:26" ht="34.5" x14ac:dyDescent="0.25">
      <c r="B56" s="53" t="s">
        <v>303</v>
      </c>
      <c r="C56" s="77"/>
      <c r="D56" s="62"/>
      <c r="E56" s="62"/>
      <c r="F56" s="64"/>
      <c r="G56" s="67" t="s">
        <v>49</v>
      </c>
      <c r="H56" s="67" t="s">
        <v>49</v>
      </c>
      <c r="I56" s="67" t="s">
        <v>49</v>
      </c>
      <c r="J56" s="67" t="s">
        <v>49</v>
      </c>
      <c r="K56" s="67" t="s">
        <v>49</v>
      </c>
      <c r="L56" s="67" t="s">
        <v>49</v>
      </c>
      <c r="M56" s="67" t="s">
        <v>49</v>
      </c>
      <c r="N56" s="67" t="s">
        <v>49</v>
      </c>
      <c r="O56" s="67" t="s">
        <v>49</v>
      </c>
      <c r="P56" s="67" t="s">
        <v>49</v>
      </c>
      <c r="Q56" s="68" t="str">
        <f t="shared" si="0"/>
        <v>N</v>
      </c>
      <c r="R56" s="217" t="s">
        <v>325</v>
      </c>
      <c r="S56" s="68" t="str">
        <f>IF(COUNTIF($F56:$Q56,"Y")&gt;0,"Y","N")</f>
        <v>N</v>
      </c>
      <c r="U56" s="73"/>
      <c r="V56" s="229"/>
      <c r="W56" s="229"/>
      <c r="X56" s="229"/>
      <c r="Y56" s="229"/>
      <c r="Z56" s="73"/>
    </row>
    <row r="57" spans="2:26" x14ac:dyDescent="0.25">
      <c r="B57" s="41"/>
    </row>
    <row r="59" spans="2:26" x14ac:dyDescent="0.25">
      <c r="B59" s="6" t="s">
        <v>209</v>
      </c>
    </row>
    <row r="67" spans="3:4" x14ac:dyDescent="0.25">
      <c r="C67" s="6"/>
    </row>
    <row r="68" spans="3:4" x14ac:dyDescent="0.25">
      <c r="C68" s="6"/>
    </row>
    <row r="69" spans="3:4" x14ac:dyDescent="0.25">
      <c r="C69" s="6"/>
    </row>
    <row r="78" spans="3:4" x14ac:dyDescent="0.25">
      <c r="C78" s="46"/>
      <c r="D78" s="66"/>
    </row>
    <row r="79" spans="3:4" x14ac:dyDescent="0.25">
      <c r="C79" s="46"/>
      <c r="D79" s="66"/>
    </row>
    <row r="80" spans="3:4" x14ac:dyDescent="0.25">
      <c r="C80" s="46"/>
      <c r="D80" s="66"/>
    </row>
    <row r="81" spans="3:4" x14ac:dyDescent="0.25">
      <c r="C81" s="46"/>
      <c r="D81" s="66"/>
    </row>
    <row r="82" spans="3:4" x14ac:dyDescent="0.25">
      <c r="C82" s="46"/>
      <c r="D82" s="66"/>
    </row>
    <row r="83" spans="3:4" x14ac:dyDescent="0.25">
      <c r="D83" s="66"/>
    </row>
  </sheetData>
  <autoFilter ref="B17:AA56" xr:uid="{00000000-0001-0000-0600-00000000000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1">
    <mergeCell ref="G17:P17"/>
  </mergeCells>
  <phoneticPr fontId="18" type="noConversion"/>
  <conditionalFormatting sqref="B17:C17">
    <cfRule type="duplicateValues" dxfId="16" priority="282"/>
  </conditionalFormatting>
  <conditionalFormatting sqref="F19">
    <cfRule type="containsText" dxfId="15" priority="74" operator="containsText" text="y">
      <formula>NOT(ISERROR(SEARCH("y",F19)))</formula>
    </cfRule>
    <cfRule type="containsText" dxfId="14" priority="75" operator="containsText" text="Y">
      <formula>NOT(ISERROR(SEARCH("Y",F19)))</formula>
    </cfRule>
  </conditionalFormatting>
  <conditionalFormatting sqref="F21:F56">
    <cfRule type="containsText" dxfId="13" priority="92" operator="containsText" text="y">
      <formula>NOT(ISERROR(SEARCH("y",F21)))</formula>
    </cfRule>
  </conditionalFormatting>
  <conditionalFormatting sqref="G19:Q56">
    <cfRule type="expression" dxfId="12" priority="7">
      <formula>$F19="Y"</formula>
    </cfRule>
  </conditionalFormatting>
  <conditionalFormatting sqref="Q19:Q56 F21:F56 S19:S56">
    <cfRule type="containsText" dxfId="11" priority="259" operator="containsText" text="Y">
      <formula>NOT(ISERROR(SEARCH("Y",F19)))</formula>
    </cfRule>
  </conditionalFormatting>
  <conditionalFormatting sqref="R19:R56">
    <cfRule type="expression" dxfId="10" priority="1">
      <formula>$E19="Y"</formula>
    </cfRule>
    <cfRule type="expression" dxfId="9" priority="2">
      <formula>$B19=""</formula>
    </cfRule>
  </conditionalFormatting>
  <dataValidations count="2">
    <dataValidation type="list" allowBlank="1" showInputMessage="1" showErrorMessage="1" sqref="W52:X52 X23:X24 U19:U56 Z19:Z56 X47 X55 X53" xr:uid="{00000000-0002-0000-0600-000000000000}">
      <formula1>"O"</formula1>
    </dataValidation>
    <dataValidation type="list" allowBlank="1" showInputMessage="1" showErrorMessage="1" sqref="G19:P56" xr:uid="{00000000-0002-0000-0600-000001000000}">
      <formula1>$B$12:$B$14</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A2:Y100"/>
  <sheetViews>
    <sheetView showGridLines="0" topLeftCell="A16" zoomScale="85" zoomScaleNormal="85" workbookViewId="0">
      <selection activeCell="Q18" sqref="Q18:Q78"/>
    </sheetView>
  </sheetViews>
  <sheetFormatPr defaultColWidth="9" defaultRowHeight="12.5" outlineLevelRow="1" outlineLevelCol="1" x14ac:dyDescent="0.25"/>
  <cols>
    <col min="1" max="1" width="3.33203125" style="42" customWidth="1"/>
    <col min="2" max="2" width="24.33203125" style="182" customWidth="1"/>
    <col min="3" max="3" width="16.6640625" style="182" customWidth="1" outlineLevel="1"/>
    <col min="4" max="4" width="16.6640625" style="183" customWidth="1" outlineLevel="1"/>
    <col min="5" max="5" width="11.33203125" style="184" customWidth="1"/>
    <col min="6" max="6" width="5.9140625" style="184" customWidth="1"/>
    <col min="7" max="16" width="5.9140625" style="42" customWidth="1" outlineLevel="1"/>
    <col min="17" max="17" width="51.4140625" style="42" customWidth="1" outlineLevel="1"/>
    <col min="18" max="18" width="6.83203125" style="42" customWidth="1" outlineLevel="1"/>
    <col min="19" max="19" width="3.33203125" style="42" customWidth="1" outlineLevel="1"/>
    <col min="20" max="25" width="5.9140625" style="42" customWidth="1"/>
    <col min="26" max="26" width="6.33203125" style="42" customWidth="1"/>
    <col min="27" max="16384" width="9" style="42"/>
  </cols>
  <sheetData>
    <row r="2" spans="2:25" ht="14.75" customHeight="1" thickBot="1" x14ac:dyDescent="0.3">
      <c r="B2" s="181" t="s">
        <v>175</v>
      </c>
    </row>
    <row r="3" spans="2:25" ht="14.75" customHeight="1" x14ac:dyDescent="0.25">
      <c r="B3" s="42"/>
    </row>
    <row r="4" spans="2:25" ht="14.75" customHeight="1" outlineLevel="1" x14ac:dyDescent="0.25">
      <c r="B4" s="101" t="s">
        <v>51</v>
      </c>
    </row>
    <row r="5" spans="2:25" ht="14.75" customHeight="1" outlineLevel="1" x14ac:dyDescent="0.25">
      <c r="B5" s="42" t="s">
        <v>52</v>
      </c>
    </row>
    <row r="6" spans="2:25" ht="14.75" customHeight="1" outlineLevel="1" x14ac:dyDescent="0.25">
      <c r="B6" s="42"/>
    </row>
    <row r="7" spans="2:25" ht="14.75" customHeight="1" outlineLevel="1" x14ac:dyDescent="0.25">
      <c r="B7" s="101" t="s">
        <v>53</v>
      </c>
    </row>
    <row r="8" spans="2:25" ht="14.75" customHeight="1" outlineLevel="1" x14ac:dyDescent="0.25">
      <c r="B8" s="42" t="s">
        <v>54</v>
      </c>
      <c r="D8" s="184"/>
    </row>
    <row r="9" spans="2:25" ht="14.75" customHeight="1" outlineLevel="1" x14ac:dyDescent="0.25">
      <c r="B9" s="212" t="s">
        <v>190</v>
      </c>
      <c r="D9" s="184"/>
    </row>
    <row r="10" spans="2:25" ht="14.75" customHeight="1" outlineLevel="1" x14ac:dyDescent="0.25">
      <c r="B10" s="42" t="s">
        <v>56</v>
      </c>
      <c r="D10" s="184"/>
    </row>
    <row r="11" spans="2:25" ht="14.75" customHeight="1" outlineLevel="1" x14ac:dyDescent="0.25">
      <c r="B11" s="42"/>
      <c r="C11" s="56"/>
      <c r="D11" s="184"/>
      <c r="F11" s="57"/>
      <c r="G11" s="31"/>
    </row>
    <row r="12" spans="2:25" ht="14.75" customHeight="1" outlineLevel="1" x14ac:dyDescent="0.25">
      <c r="B12" s="30" t="s">
        <v>50</v>
      </c>
      <c r="C12" s="30">
        <v>3</v>
      </c>
      <c r="D12" s="184"/>
      <c r="F12" s="57"/>
      <c r="G12" s="31"/>
    </row>
    <row r="13" spans="2:25" ht="14.75" customHeight="1" outlineLevel="1" x14ac:dyDescent="0.25">
      <c r="B13" s="30" t="s">
        <v>55</v>
      </c>
      <c r="C13" s="30">
        <v>2</v>
      </c>
      <c r="D13" s="184"/>
      <c r="F13" s="57"/>
      <c r="G13" s="31"/>
    </row>
    <row r="14" spans="2:25" ht="14.75" customHeight="1" outlineLevel="1" x14ac:dyDescent="0.25">
      <c r="B14" s="30" t="s">
        <v>49</v>
      </c>
      <c r="C14" s="30">
        <v>1</v>
      </c>
      <c r="D14" s="184"/>
      <c r="F14" s="57"/>
      <c r="G14" s="31"/>
    </row>
    <row r="15" spans="2:25" ht="14.75" customHeight="1" x14ac:dyDescent="0.25">
      <c r="B15" s="56"/>
      <c r="C15" s="56"/>
      <c r="D15" s="184"/>
      <c r="F15" s="57"/>
      <c r="G15" s="31"/>
    </row>
    <row r="16" spans="2:25" ht="115" customHeight="1" x14ac:dyDescent="0.25">
      <c r="B16" s="185"/>
      <c r="C16" s="184"/>
      <c r="D16" s="33" t="s">
        <v>115</v>
      </c>
      <c r="E16" s="42"/>
      <c r="F16" s="305" t="s">
        <v>84</v>
      </c>
      <c r="G16" s="302" t="s">
        <v>85</v>
      </c>
      <c r="H16" s="302" t="s">
        <v>86</v>
      </c>
      <c r="I16" s="302" t="s">
        <v>87</v>
      </c>
      <c r="J16" s="302" t="s">
        <v>88</v>
      </c>
      <c r="K16" s="302" t="s">
        <v>89</v>
      </c>
      <c r="L16" s="302" t="s">
        <v>90</v>
      </c>
      <c r="M16" s="302" t="s">
        <v>91</v>
      </c>
      <c r="N16" s="302" t="s">
        <v>92</v>
      </c>
      <c r="O16" s="302" t="s">
        <v>93</v>
      </c>
      <c r="P16" s="186"/>
      <c r="Q16" s="186"/>
      <c r="S16" s="35"/>
      <c r="T16" s="302" t="s">
        <v>469</v>
      </c>
      <c r="U16" s="302" t="s">
        <v>470</v>
      </c>
      <c r="V16" s="302" t="s">
        <v>321</v>
      </c>
      <c r="W16" s="302" t="s">
        <v>472</v>
      </c>
      <c r="X16" s="302" t="s">
        <v>473</v>
      </c>
      <c r="Y16" s="302" t="s">
        <v>474</v>
      </c>
    </row>
    <row r="17" spans="1:25" s="101" customFormat="1" ht="22.75" customHeight="1" x14ac:dyDescent="0.25">
      <c r="A17" s="101">
        <v>0.55069444444444449</v>
      </c>
      <c r="B17" s="313" t="s">
        <v>167</v>
      </c>
      <c r="C17" s="298" t="str">
        <f>'2.1 유의한 계정과목(BS)'!C17</f>
        <v>FY2022</v>
      </c>
      <c r="D17" s="298" t="str">
        <f>'2.1 유의한 계정과목(BS)'!D17</f>
        <v>FY2021</v>
      </c>
      <c r="E17" s="303" t="s">
        <v>210</v>
      </c>
      <c r="F17" s="370" t="s">
        <v>94</v>
      </c>
      <c r="G17" s="370"/>
      <c r="H17" s="370"/>
      <c r="I17" s="370"/>
      <c r="J17" s="370"/>
      <c r="K17" s="370"/>
      <c r="L17" s="370"/>
      <c r="M17" s="370"/>
      <c r="N17" s="370"/>
      <c r="O17" s="370"/>
      <c r="P17" s="303" t="s">
        <v>69</v>
      </c>
      <c r="Q17" s="304" t="s">
        <v>95</v>
      </c>
      <c r="R17" s="325" t="s">
        <v>96</v>
      </c>
      <c r="S17" s="187"/>
      <c r="T17" s="303"/>
      <c r="U17" s="303"/>
      <c r="V17" s="303"/>
      <c r="W17" s="303"/>
      <c r="X17" s="303"/>
      <c r="Y17" s="303"/>
    </row>
    <row r="18" spans="1:25" ht="13.75" customHeight="1" x14ac:dyDescent="0.25">
      <c r="B18" s="188"/>
      <c r="C18" s="189"/>
      <c r="D18" s="189"/>
      <c r="E18" s="190"/>
      <c r="F18" s="76"/>
      <c r="G18" s="191"/>
      <c r="H18" s="191"/>
      <c r="I18" s="191"/>
      <c r="J18" s="191"/>
      <c r="K18" s="191"/>
      <c r="L18" s="191"/>
      <c r="M18" s="191"/>
      <c r="N18" s="191"/>
      <c r="O18" s="192"/>
      <c r="P18" s="220"/>
      <c r="Q18" s="372" t="s">
        <v>212</v>
      </c>
      <c r="R18" s="223"/>
      <c r="T18" s="190"/>
      <c r="U18" s="190"/>
      <c r="V18" s="190"/>
      <c r="W18" s="190"/>
      <c r="X18" s="190"/>
      <c r="Y18" s="226"/>
    </row>
    <row r="19" spans="1:25" ht="12" customHeight="1" x14ac:dyDescent="0.25">
      <c r="B19" s="193" t="s">
        <v>277</v>
      </c>
      <c r="C19" s="326">
        <f>SUM(C20,C48:C51)</f>
        <v>5590104148</v>
      </c>
      <c r="D19" s="326">
        <f>SUM(D20,D48:D51)</f>
        <v>3922676504</v>
      </c>
      <c r="E19" s="194"/>
      <c r="F19" s="195"/>
      <c r="G19" s="195"/>
      <c r="H19" s="195"/>
      <c r="I19" s="195"/>
      <c r="J19" s="195"/>
      <c r="K19" s="195"/>
      <c r="L19" s="195"/>
      <c r="M19" s="195"/>
      <c r="N19" s="195"/>
      <c r="O19" s="195"/>
      <c r="P19" s="221"/>
      <c r="Q19" s="373"/>
      <c r="R19" s="224"/>
      <c r="T19" s="227"/>
      <c r="U19" s="227"/>
      <c r="V19" s="227"/>
      <c r="W19" s="227"/>
      <c r="X19" s="227"/>
      <c r="Y19" s="226"/>
    </row>
    <row r="20" spans="1:25" ht="12" customHeight="1" x14ac:dyDescent="0.25">
      <c r="B20" s="193" t="s">
        <v>304</v>
      </c>
      <c r="C20" s="326">
        <f>SUM(C21,C22,C40)</f>
        <v>5731836143</v>
      </c>
      <c r="D20" s="326">
        <f>SUM(D21,D22,D40)</f>
        <v>3965445748</v>
      </c>
      <c r="E20" s="194"/>
      <c r="F20" s="195"/>
      <c r="G20" s="195"/>
      <c r="H20" s="195"/>
      <c r="I20" s="195"/>
      <c r="J20" s="195"/>
      <c r="K20" s="195"/>
      <c r="L20" s="195"/>
      <c r="M20" s="195"/>
      <c r="N20" s="195"/>
      <c r="O20" s="195"/>
      <c r="P20" s="221"/>
      <c r="Q20" s="373"/>
      <c r="R20" s="224"/>
      <c r="T20" s="227"/>
      <c r="U20" s="227"/>
      <c r="V20" s="227"/>
      <c r="W20" s="227"/>
      <c r="X20" s="227"/>
      <c r="Y20" s="226"/>
    </row>
    <row r="21" spans="1:25" ht="14.15" customHeight="1" x14ac:dyDescent="0.25">
      <c r="B21" s="196" t="s">
        <v>305</v>
      </c>
      <c r="C21" s="327">
        <v>4414710903</v>
      </c>
      <c r="D21" s="327">
        <v>3524139886</v>
      </c>
      <c r="E21" s="197"/>
      <c r="F21" s="198"/>
      <c r="G21" s="198"/>
      <c r="H21" s="198"/>
      <c r="I21" s="198"/>
      <c r="J21" s="198"/>
      <c r="K21" s="198"/>
      <c r="L21" s="198"/>
      <c r="M21" s="198"/>
      <c r="N21" s="198"/>
      <c r="O21" s="198"/>
      <c r="P21" s="222"/>
      <c r="Q21" s="373"/>
      <c r="R21" s="225"/>
      <c r="T21" s="226"/>
      <c r="U21" s="226"/>
      <c r="V21" s="226"/>
      <c r="W21" s="226"/>
      <c r="X21" s="226"/>
      <c r="Y21" s="226"/>
    </row>
    <row r="22" spans="1:25" ht="14.15" customHeight="1" x14ac:dyDescent="0.25">
      <c r="B22" s="196" t="s">
        <v>306</v>
      </c>
      <c r="C22" s="327">
        <f>SUM(C23:C39)</f>
        <v>877249782</v>
      </c>
      <c r="D22" s="327">
        <f>SUM(D23:D39)</f>
        <v>475991567</v>
      </c>
      <c r="E22" s="197"/>
      <c r="F22" s="198"/>
      <c r="G22" s="198"/>
      <c r="H22" s="198"/>
      <c r="I22" s="198"/>
      <c r="J22" s="198"/>
      <c r="K22" s="198"/>
      <c r="L22" s="198"/>
      <c r="M22" s="198"/>
      <c r="N22" s="198"/>
      <c r="O22" s="198"/>
      <c r="P22" s="222"/>
      <c r="Q22" s="373"/>
      <c r="R22" s="225"/>
      <c r="T22" s="226"/>
      <c r="U22" s="226"/>
      <c r="V22" s="226"/>
      <c r="W22" s="226"/>
      <c r="X22" s="226"/>
      <c r="Y22" s="226"/>
    </row>
    <row r="23" spans="1:25" ht="12" customHeight="1" x14ac:dyDescent="0.25">
      <c r="B23" s="199" t="s">
        <v>479</v>
      </c>
      <c r="C23" s="329">
        <v>-68638747</v>
      </c>
      <c r="D23" s="329">
        <v>26252791</v>
      </c>
      <c r="E23" s="194"/>
      <c r="F23" s="198" t="s">
        <v>49</v>
      </c>
      <c r="G23" s="198" t="s">
        <v>49</v>
      </c>
      <c r="H23" s="198" t="s">
        <v>55</v>
      </c>
      <c r="I23" s="198" t="s">
        <v>49</v>
      </c>
      <c r="J23" s="198" t="s">
        <v>49</v>
      </c>
      <c r="K23" s="198" t="s">
        <v>49</v>
      </c>
      <c r="L23" s="198" t="s">
        <v>49</v>
      </c>
      <c r="M23" s="198" t="s">
        <v>49</v>
      </c>
      <c r="N23" s="198" t="s">
        <v>55</v>
      </c>
      <c r="O23" s="198" t="s">
        <v>55</v>
      </c>
      <c r="P23" s="222" t="str">
        <f t="shared" ref="P23:P39" si="0">IF(SUM(COUNTIF($F23:$O23,"High")*$C$12+COUNTIF($F23:$O23,"Medium")*$C$13+COUNTIF($F23:$O23,"Low")*$C$14)/10&gt;=2,"Y","N")</f>
        <v>N</v>
      </c>
      <c r="Q23" s="373"/>
      <c r="R23" s="225" t="str">
        <f>IF(COUNTIF($E23:$P23,"Y")&gt;0,"Y","N")</f>
        <v>N</v>
      </c>
      <c r="T23" s="227"/>
      <c r="U23" s="227"/>
      <c r="V23" s="227"/>
      <c r="W23" s="73" t="s">
        <v>72</v>
      </c>
      <c r="X23" s="227"/>
      <c r="Y23" s="226"/>
    </row>
    <row r="24" spans="1:25" ht="14.15" customHeight="1" x14ac:dyDescent="0.25">
      <c r="B24" s="199" t="s">
        <v>439</v>
      </c>
      <c r="C24" s="329">
        <v>465332658</v>
      </c>
      <c r="D24" s="329">
        <v>155396992</v>
      </c>
      <c r="E24" s="197"/>
      <c r="F24" s="198" t="s">
        <v>49</v>
      </c>
      <c r="G24" s="198" t="s">
        <v>49</v>
      </c>
      <c r="H24" s="198" t="s">
        <v>55</v>
      </c>
      <c r="I24" s="198" t="s">
        <v>49</v>
      </c>
      <c r="J24" s="198" t="s">
        <v>49</v>
      </c>
      <c r="K24" s="198" t="s">
        <v>49</v>
      </c>
      <c r="L24" s="198" t="s">
        <v>49</v>
      </c>
      <c r="M24" s="198" t="s">
        <v>49</v>
      </c>
      <c r="N24" s="198" t="s">
        <v>55</v>
      </c>
      <c r="O24" s="198" t="s">
        <v>55</v>
      </c>
      <c r="P24" s="222" t="str">
        <f t="shared" si="0"/>
        <v>N</v>
      </c>
      <c r="Q24" s="373"/>
      <c r="R24" s="225" t="str">
        <f>IF(COUNTIF($E24:$P24,"Y")&gt;0,"Y","N")</f>
        <v>N</v>
      </c>
      <c r="S24" s="184"/>
      <c r="T24" s="226"/>
      <c r="U24" s="228"/>
      <c r="V24" s="228"/>
      <c r="W24" s="73" t="s">
        <v>72</v>
      </c>
      <c r="X24" s="226"/>
      <c r="Y24" s="226"/>
    </row>
    <row r="25" spans="1:25" ht="14.15" customHeight="1" x14ac:dyDescent="0.25">
      <c r="B25" s="199" t="s">
        <v>480</v>
      </c>
      <c r="C25" s="329">
        <v>4880184</v>
      </c>
      <c r="D25" s="329">
        <v>4880184</v>
      </c>
      <c r="E25" s="197"/>
      <c r="F25" s="198" t="s">
        <v>49</v>
      </c>
      <c r="G25" s="198" t="s">
        <v>49</v>
      </c>
      <c r="H25" s="198" t="s">
        <v>55</v>
      </c>
      <c r="I25" s="198" t="s">
        <v>49</v>
      </c>
      <c r="J25" s="198" t="s">
        <v>49</v>
      </c>
      <c r="K25" s="198" t="s">
        <v>49</v>
      </c>
      <c r="L25" s="198" t="s">
        <v>49</v>
      </c>
      <c r="M25" s="198" t="s">
        <v>49</v>
      </c>
      <c r="N25" s="198" t="s">
        <v>55</v>
      </c>
      <c r="O25" s="198" t="s">
        <v>55</v>
      </c>
      <c r="P25" s="222" t="str">
        <f t="shared" si="0"/>
        <v>N</v>
      </c>
      <c r="Q25" s="373"/>
      <c r="R25" s="225" t="str">
        <f>IF(COUNTIF($E25:$P25,"Y")&gt;0,"Y","N")</f>
        <v>N</v>
      </c>
      <c r="S25" s="184"/>
      <c r="T25" s="226"/>
      <c r="U25" s="228"/>
      <c r="V25" s="228"/>
      <c r="W25" s="73" t="s">
        <v>72</v>
      </c>
      <c r="X25" s="226"/>
      <c r="Y25" s="226"/>
    </row>
    <row r="26" spans="1:25" ht="14.15" customHeight="1" x14ac:dyDescent="0.25">
      <c r="B26" s="199" t="s">
        <v>97</v>
      </c>
      <c r="C26" s="329">
        <v>4795132</v>
      </c>
      <c r="D26" s="329">
        <v>4911317</v>
      </c>
      <c r="E26" s="197"/>
      <c r="F26" s="198" t="s">
        <v>49</v>
      </c>
      <c r="G26" s="198" t="s">
        <v>49</v>
      </c>
      <c r="H26" s="198" t="s">
        <v>55</v>
      </c>
      <c r="I26" s="198" t="s">
        <v>49</v>
      </c>
      <c r="J26" s="198" t="s">
        <v>49</v>
      </c>
      <c r="K26" s="198" t="s">
        <v>49</v>
      </c>
      <c r="L26" s="198" t="s">
        <v>49</v>
      </c>
      <c r="M26" s="198" t="s">
        <v>49</v>
      </c>
      <c r="N26" s="198" t="s">
        <v>55</v>
      </c>
      <c r="O26" s="198" t="s">
        <v>55</v>
      </c>
      <c r="P26" s="222" t="str">
        <f t="shared" si="0"/>
        <v>N</v>
      </c>
      <c r="Q26" s="373"/>
      <c r="R26" s="225" t="str">
        <f t="shared" ref="R26:R39" si="1">IF(COUNTIF($E26:$P26,"Y")&gt;0,"Y","N")</f>
        <v>N</v>
      </c>
      <c r="S26" s="184"/>
      <c r="T26" s="226"/>
      <c r="U26" s="228"/>
      <c r="V26" s="228"/>
      <c r="W26" s="73" t="s">
        <v>72</v>
      </c>
      <c r="X26" s="226"/>
      <c r="Y26" s="226"/>
    </row>
    <row r="27" spans="1:25" ht="14.15" customHeight="1" x14ac:dyDescent="0.25">
      <c r="B27" s="199" t="s">
        <v>481</v>
      </c>
      <c r="C27" s="329">
        <v>-970091</v>
      </c>
      <c r="D27" s="329">
        <v>50900155</v>
      </c>
      <c r="E27" s="197"/>
      <c r="F27" s="198" t="s">
        <v>49</v>
      </c>
      <c r="G27" s="198" t="s">
        <v>49</v>
      </c>
      <c r="H27" s="198" t="s">
        <v>55</v>
      </c>
      <c r="I27" s="198" t="s">
        <v>49</v>
      </c>
      <c r="J27" s="198" t="s">
        <v>49</v>
      </c>
      <c r="K27" s="198" t="s">
        <v>49</v>
      </c>
      <c r="L27" s="198" t="s">
        <v>49</v>
      </c>
      <c r="M27" s="198" t="s">
        <v>49</v>
      </c>
      <c r="N27" s="198" t="s">
        <v>55</v>
      </c>
      <c r="O27" s="198" t="s">
        <v>55</v>
      </c>
      <c r="P27" s="222" t="str">
        <f t="shared" si="0"/>
        <v>N</v>
      </c>
      <c r="Q27" s="373"/>
      <c r="R27" s="225" t="str">
        <f t="shared" si="1"/>
        <v>N</v>
      </c>
      <c r="S27" s="184"/>
      <c r="T27" s="226"/>
      <c r="U27" s="228"/>
      <c r="V27" s="228"/>
      <c r="W27" s="73" t="s">
        <v>72</v>
      </c>
      <c r="X27" s="226"/>
      <c r="Y27" s="226"/>
    </row>
    <row r="28" spans="1:25" ht="14.15" customHeight="1" x14ac:dyDescent="0.25">
      <c r="B28" s="199" t="s">
        <v>462</v>
      </c>
      <c r="C28" s="329">
        <v>132625520</v>
      </c>
      <c r="D28" s="329">
        <v>95695074</v>
      </c>
      <c r="E28" s="197"/>
      <c r="F28" s="198" t="s">
        <v>49</v>
      </c>
      <c r="G28" s="198" t="s">
        <v>49</v>
      </c>
      <c r="H28" s="198" t="s">
        <v>55</v>
      </c>
      <c r="I28" s="198" t="s">
        <v>49</v>
      </c>
      <c r="J28" s="198" t="s">
        <v>49</v>
      </c>
      <c r="K28" s="198" t="s">
        <v>49</v>
      </c>
      <c r="L28" s="198" t="s">
        <v>49</v>
      </c>
      <c r="M28" s="198" t="s">
        <v>49</v>
      </c>
      <c r="N28" s="198" t="s">
        <v>55</v>
      </c>
      <c r="O28" s="198" t="s">
        <v>55</v>
      </c>
      <c r="P28" s="222" t="str">
        <f t="shared" si="0"/>
        <v>N</v>
      </c>
      <c r="Q28" s="373"/>
      <c r="R28" s="225" t="str">
        <f t="shared" si="1"/>
        <v>N</v>
      </c>
      <c r="S28" s="184"/>
      <c r="T28" s="226"/>
      <c r="U28" s="228"/>
      <c r="V28" s="228"/>
      <c r="W28" s="73" t="s">
        <v>72</v>
      </c>
      <c r="X28" s="226"/>
      <c r="Y28" s="226"/>
    </row>
    <row r="29" spans="1:25" ht="14.15" customHeight="1" x14ac:dyDescent="0.25">
      <c r="B29" s="199" t="s">
        <v>464</v>
      </c>
      <c r="C29" s="329">
        <v>35991165</v>
      </c>
      <c r="D29" s="329">
        <v>6242932</v>
      </c>
      <c r="E29" s="197"/>
      <c r="F29" s="198" t="s">
        <v>49</v>
      </c>
      <c r="G29" s="198" t="s">
        <v>49</v>
      </c>
      <c r="H29" s="198" t="s">
        <v>55</v>
      </c>
      <c r="I29" s="198" t="s">
        <v>49</v>
      </c>
      <c r="J29" s="198" t="s">
        <v>49</v>
      </c>
      <c r="K29" s="198" t="s">
        <v>49</v>
      </c>
      <c r="L29" s="198" t="s">
        <v>49</v>
      </c>
      <c r="M29" s="198" t="s">
        <v>49</v>
      </c>
      <c r="N29" s="198" t="s">
        <v>55</v>
      </c>
      <c r="O29" s="198" t="s">
        <v>55</v>
      </c>
      <c r="P29" s="222" t="str">
        <f t="shared" si="0"/>
        <v>N</v>
      </c>
      <c r="Q29" s="373"/>
      <c r="R29" s="225" t="str">
        <f t="shared" si="1"/>
        <v>N</v>
      </c>
      <c r="S29" s="184"/>
      <c r="T29" s="226"/>
      <c r="U29" s="228"/>
      <c r="V29" s="228"/>
      <c r="W29" s="73" t="s">
        <v>72</v>
      </c>
      <c r="X29" s="226"/>
      <c r="Y29" s="226"/>
    </row>
    <row r="30" spans="1:25" ht="14.15" customHeight="1" x14ac:dyDescent="0.25">
      <c r="B30" s="199" t="s">
        <v>466</v>
      </c>
      <c r="C30" s="329">
        <v>235148010</v>
      </c>
      <c r="D30" s="329">
        <v>112126660</v>
      </c>
      <c r="E30" s="197"/>
      <c r="F30" s="198" t="s">
        <v>49</v>
      </c>
      <c r="G30" s="198" t="s">
        <v>49</v>
      </c>
      <c r="H30" s="198" t="s">
        <v>55</v>
      </c>
      <c r="I30" s="198" t="s">
        <v>49</v>
      </c>
      <c r="J30" s="198" t="s">
        <v>49</v>
      </c>
      <c r="K30" s="198" t="s">
        <v>49</v>
      </c>
      <c r="L30" s="198" t="s">
        <v>49</v>
      </c>
      <c r="M30" s="198" t="s">
        <v>49</v>
      </c>
      <c r="N30" s="198" t="s">
        <v>55</v>
      </c>
      <c r="O30" s="198" t="s">
        <v>55</v>
      </c>
      <c r="P30" s="222" t="str">
        <f t="shared" si="0"/>
        <v>N</v>
      </c>
      <c r="Q30" s="373"/>
      <c r="R30" s="225" t="str">
        <f t="shared" si="1"/>
        <v>N</v>
      </c>
      <c r="S30" s="184"/>
      <c r="T30" s="226"/>
      <c r="U30" s="228"/>
      <c r="V30" s="228"/>
      <c r="W30" s="73" t="s">
        <v>72</v>
      </c>
      <c r="X30" s="226"/>
      <c r="Y30" s="226"/>
    </row>
    <row r="31" spans="1:25" ht="14.15" customHeight="1" x14ac:dyDescent="0.25">
      <c r="B31" s="199" t="s">
        <v>465</v>
      </c>
      <c r="C31" s="329">
        <v>13410617</v>
      </c>
      <c r="D31" s="341">
        <v>0</v>
      </c>
      <c r="E31" s="197"/>
      <c r="F31" s="198" t="s">
        <v>49</v>
      </c>
      <c r="G31" s="198" t="s">
        <v>49</v>
      </c>
      <c r="H31" s="198" t="s">
        <v>55</v>
      </c>
      <c r="I31" s="198" t="s">
        <v>49</v>
      </c>
      <c r="J31" s="198" t="s">
        <v>49</v>
      </c>
      <c r="K31" s="198" t="s">
        <v>49</v>
      </c>
      <c r="L31" s="198" t="s">
        <v>49</v>
      </c>
      <c r="M31" s="198" t="s">
        <v>49</v>
      </c>
      <c r="N31" s="198" t="s">
        <v>55</v>
      </c>
      <c r="O31" s="198" t="s">
        <v>55</v>
      </c>
      <c r="P31" s="222" t="str">
        <f t="shared" si="0"/>
        <v>N</v>
      </c>
      <c r="Q31" s="373"/>
      <c r="R31" s="225" t="str">
        <f t="shared" si="1"/>
        <v>N</v>
      </c>
      <c r="S31" s="184"/>
      <c r="T31" s="226"/>
      <c r="U31" s="228"/>
      <c r="V31" s="228"/>
      <c r="W31" s="73" t="s">
        <v>72</v>
      </c>
      <c r="X31" s="226"/>
      <c r="Y31" s="226"/>
    </row>
    <row r="32" spans="1:25" ht="14.15" customHeight="1" x14ac:dyDescent="0.25">
      <c r="B32" s="199" t="s">
        <v>467</v>
      </c>
      <c r="C32" s="329">
        <v>1000</v>
      </c>
      <c r="D32" s="329">
        <v>8325</v>
      </c>
      <c r="E32" s="197"/>
      <c r="F32" s="198" t="s">
        <v>49</v>
      </c>
      <c r="G32" s="198" t="s">
        <v>49</v>
      </c>
      <c r="H32" s="198" t="s">
        <v>55</v>
      </c>
      <c r="I32" s="198" t="s">
        <v>49</v>
      </c>
      <c r="J32" s="198" t="s">
        <v>49</v>
      </c>
      <c r="K32" s="198" t="s">
        <v>49</v>
      </c>
      <c r="L32" s="198" t="s">
        <v>49</v>
      </c>
      <c r="M32" s="198" t="s">
        <v>49</v>
      </c>
      <c r="N32" s="198" t="s">
        <v>55</v>
      </c>
      <c r="O32" s="198" t="s">
        <v>55</v>
      </c>
      <c r="P32" s="222" t="str">
        <f t="shared" si="0"/>
        <v>N</v>
      </c>
      <c r="Q32" s="373"/>
      <c r="R32" s="225" t="str">
        <f t="shared" si="1"/>
        <v>N</v>
      </c>
      <c r="S32" s="184"/>
      <c r="T32" s="226"/>
      <c r="U32" s="228"/>
      <c r="V32" s="228"/>
      <c r="W32" s="73" t="s">
        <v>72</v>
      </c>
      <c r="X32" s="226"/>
      <c r="Y32" s="226"/>
    </row>
    <row r="33" spans="2:25" ht="14.15" customHeight="1" x14ac:dyDescent="0.25">
      <c r="B33" s="199" t="s">
        <v>98</v>
      </c>
      <c r="C33" s="329">
        <v>404133090</v>
      </c>
      <c r="D33" s="329">
        <v>268553004</v>
      </c>
      <c r="E33" s="197"/>
      <c r="F33" s="198" t="s">
        <v>49</v>
      </c>
      <c r="G33" s="198" t="s">
        <v>49</v>
      </c>
      <c r="H33" s="198" t="s">
        <v>55</v>
      </c>
      <c r="I33" s="198" t="s">
        <v>49</v>
      </c>
      <c r="J33" s="198" t="s">
        <v>49</v>
      </c>
      <c r="K33" s="198" t="s">
        <v>49</v>
      </c>
      <c r="L33" s="198" t="s">
        <v>49</v>
      </c>
      <c r="M33" s="198" t="s">
        <v>49</v>
      </c>
      <c r="N33" s="198" t="s">
        <v>55</v>
      </c>
      <c r="O33" s="198" t="s">
        <v>55</v>
      </c>
      <c r="P33" s="222" t="str">
        <f t="shared" si="0"/>
        <v>N</v>
      </c>
      <c r="Q33" s="373"/>
      <c r="R33" s="225" t="str">
        <f t="shared" si="1"/>
        <v>N</v>
      </c>
      <c r="S33" s="184"/>
      <c r="T33" s="226"/>
      <c r="U33" s="228"/>
      <c r="V33" s="228"/>
      <c r="W33" s="73" t="s">
        <v>72</v>
      </c>
      <c r="X33" s="226"/>
      <c r="Y33" s="226"/>
    </row>
    <row r="34" spans="2:25" ht="14.15" customHeight="1" x14ac:dyDescent="0.25">
      <c r="B34" s="199" t="s">
        <v>453</v>
      </c>
      <c r="C34" s="329">
        <v>-283791169</v>
      </c>
      <c r="D34" s="329">
        <v>-75560395</v>
      </c>
      <c r="E34" s="197"/>
      <c r="F34" s="198" t="s">
        <v>49</v>
      </c>
      <c r="G34" s="198" t="s">
        <v>49</v>
      </c>
      <c r="H34" s="198" t="s">
        <v>55</v>
      </c>
      <c r="I34" s="198" t="s">
        <v>49</v>
      </c>
      <c r="J34" s="198" t="s">
        <v>49</v>
      </c>
      <c r="K34" s="198" t="s">
        <v>49</v>
      </c>
      <c r="L34" s="198" t="s">
        <v>49</v>
      </c>
      <c r="M34" s="198" t="s">
        <v>49</v>
      </c>
      <c r="N34" s="198" t="s">
        <v>55</v>
      </c>
      <c r="O34" s="198" t="s">
        <v>55</v>
      </c>
      <c r="P34" s="222" t="str">
        <f t="shared" si="0"/>
        <v>N</v>
      </c>
      <c r="Q34" s="373"/>
      <c r="R34" s="225" t="str">
        <f t="shared" si="1"/>
        <v>N</v>
      </c>
      <c r="S34" s="184"/>
      <c r="T34" s="226"/>
      <c r="U34" s="228"/>
      <c r="V34" s="228"/>
      <c r="W34" s="73" t="s">
        <v>72</v>
      </c>
      <c r="X34" s="226"/>
      <c r="Y34" s="226"/>
    </row>
    <row r="35" spans="2:25" ht="14.15" customHeight="1" x14ac:dyDescent="0.25">
      <c r="B35" s="199" t="s">
        <v>454</v>
      </c>
      <c r="C35" s="329">
        <v>-13925333</v>
      </c>
      <c r="D35" s="341">
        <v>0</v>
      </c>
      <c r="E35" s="197"/>
      <c r="F35" s="198" t="s">
        <v>49</v>
      </c>
      <c r="G35" s="198" t="s">
        <v>49</v>
      </c>
      <c r="H35" s="198" t="s">
        <v>55</v>
      </c>
      <c r="I35" s="198" t="s">
        <v>49</v>
      </c>
      <c r="J35" s="198" t="s">
        <v>49</v>
      </c>
      <c r="K35" s="198" t="s">
        <v>49</v>
      </c>
      <c r="L35" s="198" t="s">
        <v>49</v>
      </c>
      <c r="M35" s="198" t="s">
        <v>49</v>
      </c>
      <c r="N35" s="198" t="s">
        <v>55</v>
      </c>
      <c r="O35" s="198" t="s">
        <v>55</v>
      </c>
      <c r="P35" s="222" t="str">
        <f t="shared" si="0"/>
        <v>N</v>
      </c>
      <c r="Q35" s="373"/>
      <c r="R35" s="225" t="str">
        <f t="shared" si="1"/>
        <v>N</v>
      </c>
      <c r="S35" s="184"/>
      <c r="T35" s="226"/>
      <c r="U35" s="228"/>
      <c r="V35" s="228"/>
      <c r="W35" s="73" t="s">
        <v>72</v>
      </c>
      <c r="X35" s="226"/>
      <c r="Y35" s="226"/>
    </row>
    <row r="36" spans="2:25" ht="14.15" customHeight="1" x14ac:dyDescent="0.25">
      <c r="B36" s="199" t="s">
        <v>458</v>
      </c>
      <c r="C36" s="329">
        <v>-4124966</v>
      </c>
      <c r="D36" s="329">
        <v>-2529789</v>
      </c>
      <c r="E36" s="197"/>
      <c r="F36" s="198" t="s">
        <v>49</v>
      </c>
      <c r="G36" s="198" t="s">
        <v>49</v>
      </c>
      <c r="H36" s="198" t="s">
        <v>55</v>
      </c>
      <c r="I36" s="198" t="s">
        <v>49</v>
      </c>
      <c r="J36" s="198" t="s">
        <v>49</v>
      </c>
      <c r="K36" s="198" t="s">
        <v>49</v>
      </c>
      <c r="L36" s="198" t="s">
        <v>49</v>
      </c>
      <c r="M36" s="198" t="s">
        <v>49</v>
      </c>
      <c r="N36" s="198" t="s">
        <v>55</v>
      </c>
      <c r="O36" s="198" t="s">
        <v>55</v>
      </c>
      <c r="P36" s="222" t="str">
        <f t="shared" si="0"/>
        <v>N</v>
      </c>
      <c r="Q36" s="373"/>
      <c r="R36" s="225" t="str">
        <f t="shared" si="1"/>
        <v>N</v>
      </c>
      <c r="S36" s="184"/>
      <c r="T36" s="226"/>
      <c r="U36" s="228"/>
      <c r="V36" s="228"/>
      <c r="W36" s="73" t="s">
        <v>72</v>
      </c>
      <c r="X36" s="226"/>
      <c r="Y36" s="226"/>
    </row>
    <row r="37" spans="2:25" ht="14.15" customHeight="1" x14ac:dyDescent="0.25">
      <c r="B37" s="199" t="s">
        <v>459</v>
      </c>
      <c r="C37" s="341">
        <v>0</v>
      </c>
      <c r="D37" s="329">
        <v>-83715</v>
      </c>
      <c r="E37" s="197"/>
      <c r="F37" s="198" t="s">
        <v>49</v>
      </c>
      <c r="G37" s="198" t="s">
        <v>49</v>
      </c>
      <c r="H37" s="198" t="s">
        <v>55</v>
      </c>
      <c r="I37" s="198" t="s">
        <v>49</v>
      </c>
      <c r="J37" s="198" t="s">
        <v>49</v>
      </c>
      <c r="K37" s="198" t="s">
        <v>49</v>
      </c>
      <c r="L37" s="198" t="s">
        <v>49</v>
      </c>
      <c r="M37" s="198" t="s">
        <v>49</v>
      </c>
      <c r="N37" s="198" t="s">
        <v>55</v>
      </c>
      <c r="O37" s="198" t="s">
        <v>55</v>
      </c>
      <c r="P37" s="222" t="str">
        <f t="shared" si="0"/>
        <v>N</v>
      </c>
      <c r="Q37" s="373"/>
      <c r="R37" s="225" t="str">
        <f t="shared" si="1"/>
        <v>N</v>
      </c>
      <c r="S37" s="184"/>
      <c r="T37" s="226"/>
      <c r="U37" s="228"/>
      <c r="V37" s="228"/>
      <c r="W37" s="73" t="s">
        <v>72</v>
      </c>
      <c r="X37" s="226"/>
      <c r="Y37" s="226"/>
    </row>
    <row r="38" spans="2:25" ht="14.15" customHeight="1" x14ac:dyDescent="0.25">
      <c r="B38" s="199" t="s">
        <v>456</v>
      </c>
      <c r="C38" s="329">
        <v>-41086178</v>
      </c>
      <c r="D38" s="329">
        <v>-116349579</v>
      </c>
      <c r="E38" s="197"/>
      <c r="F38" s="198" t="s">
        <v>49</v>
      </c>
      <c r="G38" s="198" t="s">
        <v>49</v>
      </c>
      <c r="H38" s="198" t="s">
        <v>55</v>
      </c>
      <c r="I38" s="198" t="s">
        <v>49</v>
      </c>
      <c r="J38" s="198" t="s">
        <v>49</v>
      </c>
      <c r="K38" s="198" t="s">
        <v>49</v>
      </c>
      <c r="L38" s="198" t="s">
        <v>49</v>
      </c>
      <c r="M38" s="198" t="s">
        <v>49</v>
      </c>
      <c r="N38" s="198" t="s">
        <v>55</v>
      </c>
      <c r="O38" s="198" t="s">
        <v>55</v>
      </c>
      <c r="P38" s="222" t="str">
        <f t="shared" si="0"/>
        <v>N</v>
      </c>
      <c r="Q38" s="373"/>
      <c r="R38" s="225" t="str">
        <f t="shared" si="1"/>
        <v>N</v>
      </c>
      <c r="S38" s="184"/>
      <c r="T38" s="226"/>
      <c r="U38" s="228"/>
      <c r="V38" s="228"/>
      <c r="W38" s="73" t="s">
        <v>72</v>
      </c>
      <c r="X38" s="226"/>
      <c r="Y38" s="226"/>
    </row>
    <row r="39" spans="2:25" ht="14.15" customHeight="1" x14ac:dyDescent="0.25">
      <c r="B39" s="199" t="s">
        <v>455</v>
      </c>
      <c r="C39" s="329">
        <v>-6531110</v>
      </c>
      <c r="D39" s="329">
        <v>-54452389</v>
      </c>
      <c r="E39" s="197"/>
      <c r="F39" s="198" t="s">
        <v>49</v>
      </c>
      <c r="G39" s="198" t="s">
        <v>49</v>
      </c>
      <c r="H39" s="198" t="s">
        <v>55</v>
      </c>
      <c r="I39" s="198" t="s">
        <v>49</v>
      </c>
      <c r="J39" s="198" t="s">
        <v>49</v>
      </c>
      <c r="K39" s="198" t="s">
        <v>49</v>
      </c>
      <c r="L39" s="198" t="s">
        <v>49</v>
      </c>
      <c r="M39" s="198" t="s">
        <v>49</v>
      </c>
      <c r="N39" s="198" t="s">
        <v>55</v>
      </c>
      <c r="O39" s="198" t="s">
        <v>55</v>
      </c>
      <c r="P39" s="222" t="str">
        <f t="shared" si="0"/>
        <v>N</v>
      </c>
      <c r="Q39" s="373"/>
      <c r="R39" s="225" t="str">
        <f t="shared" si="1"/>
        <v>N</v>
      </c>
      <c r="S39" s="184"/>
      <c r="T39" s="226"/>
      <c r="U39" s="228"/>
      <c r="V39" s="228"/>
      <c r="W39" s="73" t="s">
        <v>72</v>
      </c>
      <c r="X39" s="226"/>
      <c r="Y39" s="226"/>
    </row>
    <row r="40" spans="2:25" ht="14.15" customHeight="1" x14ac:dyDescent="0.25">
      <c r="B40" s="196" t="s">
        <v>307</v>
      </c>
      <c r="C40" s="327">
        <f>SUM(C41:C47)</f>
        <v>439875458</v>
      </c>
      <c r="D40" s="327">
        <f>SUM(D41:D47)</f>
        <v>-34685705</v>
      </c>
      <c r="E40" s="197"/>
      <c r="F40" s="198"/>
      <c r="G40" s="198"/>
      <c r="H40" s="198"/>
      <c r="I40" s="198"/>
      <c r="J40" s="198"/>
      <c r="K40" s="198"/>
      <c r="L40" s="198"/>
      <c r="M40" s="198"/>
      <c r="N40" s="198"/>
      <c r="O40" s="198"/>
      <c r="P40" s="222"/>
      <c r="Q40" s="373"/>
      <c r="R40" s="225"/>
      <c r="S40" s="184"/>
      <c r="T40" s="226"/>
      <c r="U40" s="228"/>
      <c r="V40" s="228"/>
      <c r="W40" s="228"/>
      <c r="X40" s="228"/>
      <c r="Y40" s="226"/>
    </row>
    <row r="41" spans="2:25" ht="14.15" customHeight="1" x14ac:dyDescent="0.25">
      <c r="B41" s="199" t="s">
        <v>482</v>
      </c>
      <c r="C41" s="328">
        <v>17554644</v>
      </c>
      <c r="D41" s="328">
        <v>-337083972</v>
      </c>
      <c r="E41" s="197"/>
      <c r="F41" s="198" t="s">
        <v>49</v>
      </c>
      <c r="G41" s="198" t="s">
        <v>49</v>
      </c>
      <c r="H41" s="198" t="s">
        <v>55</v>
      </c>
      <c r="I41" s="198" t="s">
        <v>49</v>
      </c>
      <c r="J41" s="198" t="s">
        <v>49</v>
      </c>
      <c r="K41" s="198" t="s">
        <v>49</v>
      </c>
      <c r="L41" s="198" t="s">
        <v>49</v>
      </c>
      <c r="M41" s="198" t="s">
        <v>49</v>
      </c>
      <c r="N41" s="198" t="s">
        <v>55</v>
      </c>
      <c r="O41" s="198" t="s">
        <v>55</v>
      </c>
      <c r="P41" s="222" t="str">
        <f t="shared" ref="P41:P66" si="2">IF(SUM(COUNTIF($F41:$O41,"High")*$C$12+COUNTIF($F41:$O41,"Medium")*$C$13+COUNTIF($F41:$O41,"Low")*$C$14)/10&gt;=2,"Y","N")</f>
        <v>N</v>
      </c>
      <c r="Q41" s="373"/>
      <c r="R41" s="225" t="str">
        <f t="shared" ref="R41:R74" si="3">IF(COUNTIF($E41:$P41,"Y")&gt;0,"Y","N")</f>
        <v>N</v>
      </c>
      <c r="S41" s="184"/>
      <c r="T41" s="226"/>
      <c r="U41" s="228"/>
      <c r="V41" s="228"/>
      <c r="W41" s="73" t="s">
        <v>72</v>
      </c>
      <c r="X41" s="228"/>
      <c r="Y41" s="226"/>
    </row>
    <row r="42" spans="2:25" ht="14.15" customHeight="1" x14ac:dyDescent="0.25">
      <c r="B42" s="199" t="s">
        <v>483</v>
      </c>
      <c r="C42" s="328">
        <v>1503230</v>
      </c>
      <c r="D42" s="328">
        <v>46346321</v>
      </c>
      <c r="E42" s="197"/>
      <c r="F42" s="198" t="s">
        <v>49</v>
      </c>
      <c r="G42" s="198" t="s">
        <v>49</v>
      </c>
      <c r="H42" s="198" t="s">
        <v>55</v>
      </c>
      <c r="I42" s="198" t="s">
        <v>49</v>
      </c>
      <c r="J42" s="198" t="s">
        <v>49</v>
      </c>
      <c r="K42" s="198" t="s">
        <v>49</v>
      </c>
      <c r="L42" s="198" t="s">
        <v>49</v>
      </c>
      <c r="M42" s="198" t="s">
        <v>49</v>
      </c>
      <c r="N42" s="198" t="s">
        <v>55</v>
      </c>
      <c r="O42" s="198" t="s">
        <v>55</v>
      </c>
      <c r="P42" s="222" t="str">
        <f t="shared" si="2"/>
        <v>N</v>
      </c>
      <c r="Q42" s="373"/>
      <c r="R42" s="225" t="str">
        <f t="shared" si="3"/>
        <v>N</v>
      </c>
      <c r="S42" s="184"/>
      <c r="T42" s="226"/>
      <c r="U42" s="228"/>
      <c r="V42" s="228"/>
      <c r="W42" s="73" t="s">
        <v>72</v>
      </c>
      <c r="X42" s="228"/>
      <c r="Y42" s="226"/>
    </row>
    <row r="43" spans="2:25" ht="14.15" customHeight="1" x14ac:dyDescent="0.25">
      <c r="B43" s="199" t="s">
        <v>484</v>
      </c>
      <c r="C43" s="328">
        <v>3264166</v>
      </c>
      <c r="D43" s="328">
        <v>11646260</v>
      </c>
      <c r="E43" s="197"/>
      <c r="F43" s="198" t="s">
        <v>49</v>
      </c>
      <c r="G43" s="198" t="s">
        <v>49</v>
      </c>
      <c r="H43" s="198" t="s">
        <v>55</v>
      </c>
      <c r="I43" s="198" t="s">
        <v>49</v>
      </c>
      <c r="J43" s="198" t="s">
        <v>49</v>
      </c>
      <c r="K43" s="198" t="s">
        <v>49</v>
      </c>
      <c r="L43" s="198" t="s">
        <v>49</v>
      </c>
      <c r="M43" s="198" t="s">
        <v>49</v>
      </c>
      <c r="N43" s="198" t="s">
        <v>55</v>
      </c>
      <c r="O43" s="198" t="s">
        <v>55</v>
      </c>
      <c r="P43" s="222" t="str">
        <f t="shared" si="2"/>
        <v>N</v>
      </c>
      <c r="Q43" s="373"/>
      <c r="R43" s="225" t="str">
        <f t="shared" si="3"/>
        <v>N</v>
      </c>
      <c r="S43" s="184"/>
      <c r="T43" s="226"/>
      <c r="U43" s="228"/>
      <c r="V43" s="228"/>
      <c r="W43" s="73" t="s">
        <v>72</v>
      </c>
      <c r="X43" s="228"/>
      <c r="Y43" s="226"/>
    </row>
    <row r="44" spans="2:25" ht="14.15" customHeight="1" x14ac:dyDescent="0.25">
      <c r="B44" s="199" t="s">
        <v>485</v>
      </c>
      <c r="C44" s="328">
        <v>419570444</v>
      </c>
      <c r="D44" s="328">
        <v>-196045426</v>
      </c>
      <c r="E44" s="197"/>
      <c r="F44" s="198" t="s">
        <v>49</v>
      </c>
      <c r="G44" s="198" t="s">
        <v>49</v>
      </c>
      <c r="H44" s="198" t="s">
        <v>55</v>
      </c>
      <c r="I44" s="198" t="s">
        <v>49</v>
      </c>
      <c r="J44" s="198" t="s">
        <v>49</v>
      </c>
      <c r="K44" s="198" t="s">
        <v>49</v>
      </c>
      <c r="L44" s="198" t="s">
        <v>49</v>
      </c>
      <c r="M44" s="198" t="s">
        <v>49</v>
      </c>
      <c r="N44" s="198" t="s">
        <v>55</v>
      </c>
      <c r="O44" s="198" t="s">
        <v>55</v>
      </c>
      <c r="P44" s="222" t="str">
        <f t="shared" si="2"/>
        <v>N</v>
      </c>
      <c r="Q44" s="373"/>
      <c r="R44" s="225" t="str">
        <f t="shared" si="3"/>
        <v>N</v>
      </c>
      <c r="S44" s="184"/>
      <c r="T44" s="226"/>
      <c r="U44" s="228"/>
      <c r="V44" s="228"/>
      <c r="W44" s="73" t="s">
        <v>72</v>
      </c>
      <c r="X44" s="228"/>
      <c r="Y44" s="226"/>
    </row>
    <row r="45" spans="2:25" ht="14.15" customHeight="1" x14ac:dyDescent="0.25">
      <c r="B45" s="199" t="s">
        <v>486</v>
      </c>
      <c r="C45" s="328">
        <v>-133233015</v>
      </c>
      <c r="D45" s="328">
        <v>480035701</v>
      </c>
      <c r="E45" s="197"/>
      <c r="F45" s="198" t="s">
        <v>49</v>
      </c>
      <c r="G45" s="198" t="s">
        <v>49</v>
      </c>
      <c r="H45" s="198" t="s">
        <v>55</v>
      </c>
      <c r="I45" s="198" t="s">
        <v>49</v>
      </c>
      <c r="J45" s="198" t="s">
        <v>49</v>
      </c>
      <c r="K45" s="198" t="s">
        <v>49</v>
      </c>
      <c r="L45" s="198" t="s">
        <v>49</v>
      </c>
      <c r="M45" s="198" t="s">
        <v>49</v>
      </c>
      <c r="N45" s="198" t="s">
        <v>55</v>
      </c>
      <c r="O45" s="198" t="s">
        <v>55</v>
      </c>
      <c r="P45" s="222" t="str">
        <f t="shared" si="2"/>
        <v>N</v>
      </c>
      <c r="Q45" s="373"/>
      <c r="R45" s="225" t="str">
        <f t="shared" si="3"/>
        <v>N</v>
      </c>
      <c r="S45" s="184"/>
      <c r="T45" s="226"/>
      <c r="U45" s="228"/>
      <c r="V45" s="228"/>
      <c r="W45" s="73" t="s">
        <v>72</v>
      </c>
      <c r="X45" s="228"/>
      <c r="Y45" s="226"/>
    </row>
    <row r="46" spans="2:25" ht="14.15" customHeight="1" x14ac:dyDescent="0.25">
      <c r="B46" s="199" t="s">
        <v>487</v>
      </c>
      <c r="C46" s="328">
        <v>163347463</v>
      </c>
      <c r="D46" s="328">
        <v>337247</v>
      </c>
      <c r="E46" s="197"/>
      <c r="F46" s="198" t="s">
        <v>49</v>
      </c>
      <c r="G46" s="198" t="s">
        <v>49</v>
      </c>
      <c r="H46" s="198" t="s">
        <v>55</v>
      </c>
      <c r="I46" s="198" t="s">
        <v>49</v>
      </c>
      <c r="J46" s="198" t="s">
        <v>49</v>
      </c>
      <c r="K46" s="198" t="s">
        <v>49</v>
      </c>
      <c r="L46" s="198" t="s">
        <v>49</v>
      </c>
      <c r="M46" s="198" t="s">
        <v>49</v>
      </c>
      <c r="N46" s="198" t="s">
        <v>55</v>
      </c>
      <c r="O46" s="198" t="s">
        <v>55</v>
      </c>
      <c r="P46" s="222" t="str">
        <f t="shared" si="2"/>
        <v>N</v>
      </c>
      <c r="Q46" s="373"/>
      <c r="R46" s="225" t="str">
        <f t="shared" si="3"/>
        <v>N</v>
      </c>
      <c r="S46" s="184"/>
      <c r="T46" s="226"/>
      <c r="U46" s="228"/>
      <c r="V46" s="228"/>
      <c r="W46" s="73" t="s">
        <v>72</v>
      </c>
      <c r="X46" s="228"/>
      <c r="Y46" s="226"/>
    </row>
    <row r="47" spans="2:25" ht="14.15" customHeight="1" x14ac:dyDescent="0.25">
      <c r="B47" s="199" t="s">
        <v>488</v>
      </c>
      <c r="C47" s="328">
        <v>-32131474</v>
      </c>
      <c r="D47" s="328">
        <v>-39921836</v>
      </c>
      <c r="E47" s="197"/>
      <c r="F47" s="198" t="s">
        <v>49</v>
      </c>
      <c r="G47" s="198" t="s">
        <v>49</v>
      </c>
      <c r="H47" s="198" t="s">
        <v>55</v>
      </c>
      <c r="I47" s="198" t="s">
        <v>49</v>
      </c>
      <c r="J47" s="198" t="s">
        <v>49</v>
      </c>
      <c r="K47" s="198" t="s">
        <v>49</v>
      </c>
      <c r="L47" s="198" t="s">
        <v>49</v>
      </c>
      <c r="M47" s="198" t="s">
        <v>49</v>
      </c>
      <c r="N47" s="198" t="s">
        <v>55</v>
      </c>
      <c r="O47" s="198" t="s">
        <v>55</v>
      </c>
      <c r="P47" s="222" t="str">
        <f t="shared" si="2"/>
        <v>N</v>
      </c>
      <c r="Q47" s="373"/>
      <c r="R47" s="225" t="str">
        <f t="shared" si="3"/>
        <v>N</v>
      </c>
      <c r="S47" s="184"/>
      <c r="T47" s="226"/>
      <c r="U47" s="228"/>
      <c r="V47" s="228"/>
      <c r="W47" s="73" t="s">
        <v>72</v>
      </c>
      <c r="X47" s="228"/>
      <c r="Y47" s="226"/>
    </row>
    <row r="48" spans="2:25" ht="14.15" customHeight="1" x14ac:dyDescent="0.25">
      <c r="B48" s="199" t="s">
        <v>308</v>
      </c>
      <c r="C48" s="328">
        <v>227691408</v>
      </c>
      <c r="D48" s="328">
        <v>76137268</v>
      </c>
      <c r="E48" s="197"/>
      <c r="F48" s="198" t="s">
        <v>49</v>
      </c>
      <c r="G48" s="198" t="s">
        <v>49</v>
      </c>
      <c r="H48" s="198" t="s">
        <v>55</v>
      </c>
      <c r="I48" s="198" t="s">
        <v>49</v>
      </c>
      <c r="J48" s="198" t="s">
        <v>49</v>
      </c>
      <c r="K48" s="198" t="s">
        <v>49</v>
      </c>
      <c r="L48" s="198" t="s">
        <v>49</v>
      </c>
      <c r="M48" s="198" t="s">
        <v>49</v>
      </c>
      <c r="N48" s="198" t="s">
        <v>55</v>
      </c>
      <c r="O48" s="198" t="s">
        <v>55</v>
      </c>
      <c r="P48" s="222" t="str">
        <f t="shared" si="2"/>
        <v>N</v>
      </c>
      <c r="Q48" s="373"/>
      <c r="R48" s="225" t="str">
        <f t="shared" si="3"/>
        <v>N</v>
      </c>
      <c r="S48" s="184"/>
      <c r="T48" s="226"/>
      <c r="U48" s="228"/>
      <c r="V48" s="228"/>
      <c r="W48" s="73" t="s">
        <v>72</v>
      </c>
      <c r="X48" s="228"/>
      <c r="Y48" s="226"/>
    </row>
    <row r="49" spans="2:25" ht="14.15" customHeight="1" x14ac:dyDescent="0.25">
      <c r="B49" s="199" t="s">
        <v>309</v>
      </c>
      <c r="C49" s="328">
        <v>-130019592</v>
      </c>
      <c r="D49" s="340">
        <v>0</v>
      </c>
      <c r="E49" s="197"/>
      <c r="F49" s="198" t="s">
        <v>49</v>
      </c>
      <c r="G49" s="198" t="s">
        <v>49</v>
      </c>
      <c r="H49" s="198" t="s">
        <v>55</v>
      </c>
      <c r="I49" s="198" t="s">
        <v>49</v>
      </c>
      <c r="J49" s="198" t="s">
        <v>49</v>
      </c>
      <c r="K49" s="198" t="s">
        <v>49</v>
      </c>
      <c r="L49" s="198" t="s">
        <v>49</v>
      </c>
      <c r="M49" s="198" t="s">
        <v>49</v>
      </c>
      <c r="N49" s="198" t="s">
        <v>55</v>
      </c>
      <c r="O49" s="198" t="s">
        <v>55</v>
      </c>
      <c r="P49" s="222" t="str">
        <f t="shared" si="2"/>
        <v>N</v>
      </c>
      <c r="Q49" s="373"/>
      <c r="R49" s="225" t="str">
        <f t="shared" si="3"/>
        <v>N</v>
      </c>
      <c r="S49" s="184"/>
      <c r="T49" s="226"/>
      <c r="U49" s="228"/>
      <c r="V49" s="228"/>
      <c r="W49" s="73" t="s">
        <v>72</v>
      </c>
      <c r="X49" s="228"/>
      <c r="Y49" s="226"/>
    </row>
    <row r="50" spans="2:25" ht="14.15" customHeight="1" x14ac:dyDescent="0.25">
      <c r="B50" s="199" t="s">
        <v>310</v>
      </c>
      <c r="C50" s="328">
        <v>13925333</v>
      </c>
      <c r="D50" s="328">
        <v>-17072627</v>
      </c>
      <c r="E50" s="197"/>
      <c r="F50" s="198" t="s">
        <v>49</v>
      </c>
      <c r="G50" s="198" t="s">
        <v>49</v>
      </c>
      <c r="H50" s="198" t="s">
        <v>55</v>
      </c>
      <c r="I50" s="198" t="s">
        <v>49</v>
      </c>
      <c r="J50" s="198" t="s">
        <v>49</v>
      </c>
      <c r="K50" s="198" t="s">
        <v>49</v>
      </c>
      <c r="L50" s="198" t="s">
        <v>49</v>
      </c>
      <c r="M50" s="198" t="s">
        <v>49</v>
      </c>
      <c r="N50" s="198" t="s">
        <v>55</v>
      </c>
      <c r="O50" s="198" t="s">
        <v>55</v>
      </c>
      <c r="P50" s="222" t="str">
        <f t="shared" si="2"/>
        <v>N</v>
      </c>
      <c r="Q50" s="373"/>
      <c r="R50" s="225" t="str">
        <f t="shared" si="3"/>
        <v>N</v>
      </c>
      <c r="S50" s="184"/>
      <c r="T50" s="226"/>
      <c r="U50" s="228"/>
      <c r="V50" s="228"/>
      <c r="W50" s="73" t="s">
        <v>72</v>
      </c>
      <c r="X50" s="228"/>
      <c r="Y50" s="226"/>
    </row>
    <row r="51" spans="2:25" ht="14.15" customHeight="1" x14ac:dyDescent="0.25">
      <c r="B51" s="199" t="s">
        <v>311</v>
      </c>
      <c r="C51" s="328">
        <v>-253329144</v>
      </c>
      <c r="D51" s="328">
        <v>-101833885</v>
      </c>
      <c r="E51" s="197"/>
      <c r="F51" s="198" t="s">
        <v>49</v>
      </c>
      <c r="G51" s="198" t="s">
        <v>49</v>
      </c>
      <c r="H51" s="198" t="s">
        <v>55</v>
      </c>
      <c r="I51" s="198" t="s">
        <v>49</v>
      </c>
      <c r="J51" s="198" t="s">
        <v>49</v>
      </c>
      <c r="K51" s="198" t="s">
        <v>49</v>
      </c>
      <c r="L51" s="198" t="s">
        <v>49</v>
      </c>
      <c r="M51" s="198" t="s">
        <v>49</v>
      </c>
      <c r="N51" s="198" t="s">
        <v>55</v>
      </c>
      <c r="O51" s="198" t="s">
        <v>55</v>
      </c>
      <c r="P51" s="222" t="str">
        <f t="shared" si="2"/>
        <v>N</v>
      </c>
      <c r="Q51" s="373"/>
      <c r="R51" s="225" t="str">
        <f t="shared" si="3"/>
        <v>N</v>
      </c>
      <c r="S51" s="184"/>
      <c r="T51" s="226"/>
      <c r="U51" s="228"/>
      <c r="V51" s="228"/>
      <c r="W51" s="73" t="s">
        <v>72</v>
      </c>
      <c r="X51" s="228"/>
      <c r="Y51" s="226"/>
    </row>
    <row r="52" spans="2:25" ht="14.15" customHeight="1" x14ac:dyDescent="0.25">
      <c r="B52" s="196" t="s">
        <v>278</v>
      </c>
      <c r="C52" s="327">
        <f>SUM(C53:C66)</f>
        <v>-8985828494</v>
      </c>
      <c r="D52" s="327">
        <f>SUM(D53:D66)</f>
        <v>-6428054115</v>
      </c>
      <c r="E52" s="197"/>
      <c r="F52" s="198"/>
      <c r="G52" s="198"/>
      <c r="H52" s="198"/>
      <c r="I52" s="198"/>
      <c r="J52" s="198"/>
      <c r="K52" s="198"/>
      <c r="L52" s="198"/>
      <c r="M52" s="198"/>
      <c r="N52" s="198"/>
      <c r="O52" s="198"/>
      <c r="P52" s="222"/>
      <c r="Q52" s="373"/>
      <c r="R52" s="225"/>
      <c r="S52" s="184"/>
      <c r="T52" s="226"/>
      <c r="U52" s="228"/>
      <c r="V52" s="228"/>
      <c r="W52" s="228"/>
      <c r="X52" s="228"/>
      <c r="Y52" s="226"/>
    </row>
    <row r="53" spans="2:25" ht="14.15" customHeight="1" x14ac:dyDescent="0.25">
      <c r="B53" s="199" t="s">
        <v>489</v>
      </c>
      <c r="C53" s="340">
        <v>0</v>
      </c>
      <c r="D53" s="328">
        <v>303877499</v>
      </c>
      <c r="E53" s="197"/>
      <c r="F53" s="198" t="s">
        <v>49</v>
      </c>
      <c r="G53" s="198" t="s">
        <v>49</v>
      </c>
      <c r="H53" s="198" t="s">
        <v>55</v>
      </c>
      <c r="I53" s="198" t="s">
        <v>49</v>
      </c>
      <c r="J53" s="198" t="s">
        <v>49</v>
      </c>
      <c r="K53" s="198" t="s">
        <v>49</v>
      </c>
      <c r="L53" s="198" t="s">
        <v>49</v>
      </c>
      <c r="M53" s="198" t="s">
        <v>49</v>
      </c>
      <c r="N53" s="198" t="s">
        <v>55</v>
      </c>
      <c r="O53" s="198" t="s">
        <v>55</v>
      </c>
      <c r="P53" s="222" t="str">
        <f t="shared" si="2"/>
        <v>N</v>
      </c>
      <c r="Q53" s="373"/>
      <c r="R53" s="225" t="str">
        <f t="shared" si="3"/>
        <v>N</v>
      </c>
      <c r="S53" s="184"/>
      <c r="T53" s="226"/>
      <c r="U53" s="228"/>
      <c r="V53" s="228"/>
      <c r="W53" s="73" t="s">
        <v>72</v>
      </c>
      <c r="X53" s="228"/>
      <c r="Y53" s="226"/>
    </row>
    <row r="54" spans="2:25" ht="14.15" customHeight="1" x14ac:dyDescent="0.25">
      <c r="B54" s="199" t="s">
        <v>490</v>
      </c>
      <c r="C54" s="328">
        <v>5000000</v>
      </c>
      <c r="D54" s="328">
        <v>0</v>
      </c>
      <c r="E54" s="197"/>
      <c r="F54" s="198" t="s">
        <v>49</v>
      </c>
      <c r="G54" s="198" t="s">
        <v>49</v>
      </c>
      <c r="H54" s="198" t="s">
        <v>55</v>
      </c>
      <c r="I54" s="198" t="s">
        <v>49</v>
      </c>
      <c r="J54" s="198" t="s">
        <v>49</v>
      </c>
      <c r="K54" s="198" t="s">
        <v>49</v>
      </c>
      <c r="L54" s="198" t="s">
        <v>49</v>
      </c>
      <c r="M54" s="198" t="s">
        <v>49</v>
      </c>
      <c r="N54" s="198" t="s">
        <v>55</v>
      </c>
      <c r="O54" s="198" t="s">
        <v>55</v>
      </c>
      <c r="P54" s="222" t="str">
        <f t="shared" si="2"/>
        <v>N</v>
      </c>
      <c r="Q54" s="373"/>
      <c r="R54" s="225" t="str">
        <f t="shared" si="3"/>
        <v>N</v>
      </c>
      <c r="S54" s="184"/>
      <c r="T54" s="226"/>
      <c r="U54" s="228"/>
      <c r="V54" s="228"/>
      <c r="W54" s="73" t="s">
        <v>72</v>
      </c>
      <c r="X54" s="228"/>
      <c r="Y54" s="226"/>
    </row>
    <row r="55" spans="2:25" ht="14.15" customHeight="1" x14ac:dyDescent="0.25">
      <c r="B55" s="199" t="s">
        <v>491</v>
      </c>
      <c r="C55" s="328">
        <v>193302349</v>
      </c>
      <c r="D55" s="328">
        <v>2034574995</v>
      </c>
      <c r="E55" s="197"/>
      <c r="F55" s="198" t="s">
        <v>49</v>
      </c>
      <c r="G55" s="198" t="s">
        <v>49</v>
      </c>
      <c r="H55" s="198" t="s">
        <v>55</v>
      </c>
      <c r="I55" s="198" t="s">
        <v>49</v>
      </c>
      <c r="J55" s="198" t="s">
        <v>49</v>
      </c>
      <c r="K55" s="198" t="s">
        <v>49</v>
      </c>
      <c r="L55" s="198" t="s">
        <v>49</v>
      </c>
      <c r="M55" s="198" t="s">
        <v>49</v>
      </c>
      <c r="N55" s="198" t="s">
        <v>55</v>
      </c>
      <c r="O55" s="198" t="s">
        <v>55</v>
      </c>
      <c r="P55" s="222" t="str">
        <f t="shared" si="2"/>
        <v>N</v>
      </c>
      <c r="Q55" s="373"/>
      <c r="R55" s="225" t="str">
        <f t="shared" si="3"/>
        <v>N</v>
      </c>
      <c r="S55" s="184"/>
      <c r="T55" s="226"/>
      <c r="U55" s="228"/>
      <c r="V55" s="228"/>
      <c r="W55" s="73" t="s">
        <v>72</v>
      </c>
      <c r="X55" s="228"/>
      <c r="Y55" s="226"/>
    </row>
    <row r="56" spans="2:25" ht="14.15" customHeight="1" x14ac:dyDescent="0.25">
      <c r="B56" s="199" t="s">
        <v>492</v>
      </c>
      <c r="C56" s="328">
        <v>300145376</v>
      </c>
      <c r="D56" s="340">
        <v>0</v>
      </c>
      <c r="E56" s="197"/>
      <c r="F56" s="198" t="s">
        <v>49</v>
      </c>
      <c r="G56" s="198" t="s">
        <v>49</v>
      </c>
      <c r="H56" s="198" t="s">
        <v>55</v>
      </c>
      <c r="I56" s="198" t="s">
        <v>49</v>
      </c>
      <c r="J56" s="198" t="s">
        <v>49</v>
      </c>
      <c r="K56" s="198" t="s">
        <v>49</v>
      </c>
      <c r="L56" s="198" t="s">
        <v>49</v>
      </c>
      <c r="M56" s="198" t="s">
        <v>49</v>
      </c>
      <c r="N56" s="198" t="s">
        <v>55</v>
      </c>
      <c r="O56" s="198" t="s">
        <v>55</v>
      </c>
      <c r="P56" s="222" t="str">
        <f t="shared" si="2"/>
        <v>N</v>
      </c>
      <c r="Q56" s="373"/>
      <c r="R56" s="225" t="str">
        <f t="shared" si="3"/>
        <v>N</v>
      </c>
      <c r="S56" s="184"/>
      <c r="T56" s="226"/>
      <c r="U56" s="228"/>
      <c r="V56" s="228"/>
      <c r="W56" s="73" t="s">
        <v>72</v>
      </c>
      <c r="X56" s="228"/>
      <c r="Y56" s="226"/>
    </row>
    <row r="57" spans="2:25" ht="14.15" customHeight="1" x14ac:dyDescent="0.25">
      <c r="B57" s="199" t="s">
        <v>493</v>
      </c>
      <c r="C57" s="328">
        <v>-3000000000</v>
      </c>
      <c r="D57" s="340">
        <v>0</v>
      </c>
      <c r="E57" s="197"/>
      <c r="F57" s="198" t="s">
        <v>49</v>
      </c>
      <c r="G57" s="198" t="s">
        <v>49</v>
      </c>
      <c r="H57" s="198" t="s">
        <v>55</v>
      </c>
      <c r="I57" s="198" t="s">
        <v>49</v>
      </c>
      <c r="J57" s="198" t="s">
        <v>49</v>
      </c>
      <c r="K57" s="198" t="s">
        <v>49</v>
      </c>
      <c r="L57" s="198" t="s">
        <v>49</v>
      </c>
      <c r="M57" s="198" t="s">
        <v>49</v>
      </c>
      <c r="N57" s="198" t="s">
        <v>55</v>
      </c>
      <c r="O57" s="198" t="s">
        <v>55</v>
      </c>
      <c r="P57" s="222" t="str">
        <f t="shared" si="2"/>
        <v>N</v>
      </c>
      <c r="Q57" s="373"/>
      <c r="R57" s="225" t="str">
        <f t="shared" si="3"/>
        <v>N</v>
      </c>
      <c r="S57" s="184"/>
      <c r="T57" s="226"/>
      <c r="U57" s="228"/>
      <c r="V57" s="228"/>
      <c r="W57" s="73" t="s">
        <v>72</v>
      </c>
      <c r="X57" s="228"/>
      <c r="Y57" s="226"/>
    </row>
    <row r="58" spans="2:25" ht="14.15" customHeight="1" x14ac:dyDescent="0.25">
      <c r="B58" s="199" t="s">
        <v>494</v>
      </c>
      <c r="C58" s="340">
        <v>0</v>
      </c>
      <c r="D58" s="328">
        <v>-5000000</v>
      </c>
      <c r="E58" s="197"/>
      <c r="F58" s="198" t="s">
        <v>49</v>
      </c>
      <c r="G58" s="198" t="s">
        <v>49</v>
      </c>
      <c r="H58" s="198" t="s">
        <v>55</v>
      </c>
      <c r="I58" s="198" t="s">
        <v>49</v>
      </c>
      <c r="J58" s="198" t="s">
        <v>49</v>
      </c>
      <c r="K58" s="198" t="s">
        <v>49</v>
      </c>
      <c r="L58" s="198" t="s">
        <v>49</v>
      </c>
      <c r="M58" s="198" t="s">
        <v>49</v>
      </c>
      <c r="N58" s="198" t="s">
        <v>55</v>
      </c>
      <c r="O58" s="198" t="s">
        <v>55</v>
      </c>
      <c r="P58" s="222" t="str">
        <f t="shared" si="2"/>
        <v>N</v>
      </c>
      <c r="Q58" s="373"/>
      <c r="R58" s="225" t="str">
        <f t="shared" si="3"/>
        <v>N</v>
      </c>
      <c r="S58" s="184"/>
      <c r="T58" s="226"/>
      <c r="U58" s="228"/>
      <c r="V58" s="228"/>
      <c r="W58" s="73" t="s">
        <v>72</v>
      </c>
      <c r="X58" s="228"/>
      <c r="Y58" s="226"/>
    </row>
    <row r="59" spans="2:25" ht="14.15" customHeight="1" x14ac:dyDescent="0.25">
      <c r="B59" s="199" t="s">
        <v>495</v>
      </c>
      <c r="C59" s="328">
        <v>-2288161651</v>
      </c>
      <c r="D59" s="328">
        <v>-720256301</v>
      </c>
      <c r="E59" s="197"/>
      <c r="F59" s="198" t="s">
        <v>49</v>
      </c>
      <c r="G59" s="198" t="s">
        <v>49</v>
      </c>
      <c r="H59" s="198" t="s">
        <v>55</v>
      </c>
      <c r="I59" s="198" t="s">
        <v>49</v>
      </c>
      <c r="J59" s="198" t="s">
        <v>49</v>
      </c>
      <c r="K59" s="198" t="s">
        <v>49</v>
      </c>
      <c r="L59" s="198" t="s">
        <v>49</v>
      </c>
      <c r="M59" s="198" t="s">
        <v>49</v>
      </c>
      <c r="N59" s="198" t="s">
        <v>55</v>
      </c>
      <c r="O59" s="198" t="s">
        <v>55</v>
      </c>
      <c r="P59" s="222" t="str">
        <f t="shared" si="2"/>
        <v>N</v>
      </c>
      <c r="Q59" s="373"/>
      <c r="R59" s="225" t="str">
        <f t="shared" si="3"/>
        <v>N</v>
      </c>
      <c r="S59" s="184"/>
      <c r="T59" s="226"/>
      <c r="U59" s="228"/>
      <c r="V59" s="228"/>
      <c r="W59" s="73" t="s">
        <v>72</v>
      </c>
      <c r="X59" s="228"/>
      <c r="Y59" s="226"/>
    </row>
    <row r="60" spans="2:25" ht="14.15" customHeight="1" x14ac:dyDescent="0.25">
      <c r="B60" s="199" t="s">
        <v>496</v>
      </c>
      <c r="C60" s="328">
        <v>-2464875839</v>
      </c>
      <c r="D60" s="340">
        <v>0</v>
      </c>
      <c r="E60" s="197"/>
      <c r="F60" s="198" t="s">
        <v>49</v>
      </c>
      <c r="G60" s="198" t="s">
        <v>49</v>
      </c>
      <c r="H60" s="198" t="s">
        <v>55</v>
      </c>
      <c r="I60" s="198" t="s">
        <v>49</v>
      </c>
      <c r="J60" s="198" t="s">
        <v>49</v>
      </c>
      <c r="K60" s="198" t="s">
        <v>49</v>
      </c>
      <c r="L60" s="198" t="s">
        <v>49</v>
      </c>
      <c r="M60" s="198" t="s">
        <v>49</v>
      </c>
      <c r="N60" s="198" t="s">
        <v>55</v>
      </c>
      <c r="O60" s="198" t="s">
        <v>55</v>
      </c>
      <c r="P60" s="222" t="str">
        <f t="shared" si="2"/>
        <v>N</v>
      </c>
      <c r="Q60" s="373"/>
      <c r="R60" s="225" t="str">
        <f t="shared" si="3"/>
        <v>N</v>
      </c>
      <c r="S60" s="184"/>
      <c r="T60" s="226"/>
      <c r="U60" s="228"/>
      <c r="V60" s="228"/>
      <c r="W60" s="73" t="s">
        <v>72</v>
      </c>
      <c r="X60" s="228"/>
      <c r="Y60" s="226"/>
    </row>
    <row r="61" spans="2:25" ht="14.15" customHeight="1" x14ac:dyDescent="0.25">
      <c r="B61" s="199" t="s">
        <v>497</v>
      </c>
      <c r="C61" s="340">
        <v>0</v>
      </c>
      <c r="D61" s="328">
        <v>-91149520</v>
      </c>
      <c r="E61" s="197"/>
      <c r="F61" s="198" t="s">
        <v>49</v>
      </c>
      <c r="G61" s="198" t="s">
        <v>49</v>
      </c>
      <c r="H61" s="198" t="s">
        <v>55</v>
      </c>
      <c r="I61" s="198" t="s">
        <v>49</v>
      </c>
      <c r="J61" s="198" t="s">
        <v>49</v>
      </c>
      <c r="K61" s="198" t="s">
        <v>49</v>
      </c>
      <c r="L61" s="198" t="s">
        <v>49</v>
      </c>
      <c r="M61" s="198" t="s">
        <v>49</v>
      </c>
      <c r="N61" s="198" t="s">
        <v>55</v>
      </c>
      <c r="O61" s="198" t="s">
        <v>55</v>
      </c>
      <c r="P61" s="222" t="str">
        <f t="shared" si="2"/>
        <v>N</v>
      </c>
      <c r="Q61" s="373"/>
      <c r="R61" s="225" t="str">
        <f t="shared" si="3"/>
        <v>N</v>
      </c>
      <c r="S61" s="184"/>
      <c r="T61" s="226"/>
      <c r="U61" s="228"/>
      <c r="V61" s="228"/>
      <c r="W61" s="73" t="s">
        <v>72</v>
      </c>
      <c r="X61" s="228"/>
      <c r="Y61" s="226"/>
    </row>
    <row r="62" spans="2:25" ht="14.15" customHeight="1" x14ac:dyDescent="0.25">
      <c r="B62" s="199" t="s">
        <v>498</v>
      </c>
      <c r="C62" s="328">
        <v>-1544600000</v>
      </c>
      <c r="D62" s="328">
        <v>-460662336</v>
      </c>
      <c r="E62" s="197"/>
      <c r="F62" s="198" t="s">
        <v>49</v>
      </c>
      <c r="G62" s="198" t="s">
        <v>49</v>
      </c>
      <c r="H62" s="198" t="s">
        <v>55</v>
      </c>
      <c r="I62" s="198" t="s">
        <v>49</v>
      </c>
      <c r="J62" s="198" t="s">
        <v>49</v>
      </c>
      <c r="K62" s="198" t="s">
        <v>49</v>
      </c>
      <c r="L62" s="198" t="s">
        <v>49</v>
      </c>
      <c r="M62" s="198" t="s">
        <v>49</v>
      </c>
      <c r="N62" s="198" t="s">
        <v>55</v>
      </c>
      <c r="O62" s="198" t="s">
        <v>55</v>
      </c>
      <c r="P62" s="222" t="str">
        <f t="shared" si="2"/>
        <v>N</v>
      </c>
      <c r="Q62" s="373"/>
      <c r="R62" s="225" t="str">
        <f t="shared" si="3"/>
        <v>N</v>
      </c>
      <c r="S62" s="184"/>
      <c r="T62" s="226"/>
      <c r="U62" s="228"/>
      <c r="V62" s="228"/>
      <c r="W62" s="73" t="s">
        <v>72</v>
      </c>
      <c r="X62" s="228"/>
      <c r="Y62" s="226"/>
    </row>
    <row r="63" spans="2:25" ht="14.15" customHeight="1" x14ac:dyDescent="0.25">
      <c r="B63" s="199" t="s">
        <v>499</v>
      </c>
      <c r="C63" s="328">
        <v>-124160184</v>
      </c>
      <c r="D63" s="328">
        <v>-157653864</v>
      </c>
      <c r="E63" s="197"/>
      <c r="F63" s="198" t="s">
        <v>49</v>
      </c>
      <c r="G63" s="198" t="s">
        <v>49</v>
      </c>
      <c r="H63" s="198" t="s">
        <v>55</v>
      </c>
      <c r="I63" s="198" t="s">
        <v>49</v>
      </c>
      <c r="J63" s="198" t="s">
        <v>49</v>
      </c>
      <c r="K63" s="198" t="s">
        <v>49</v>
      </c>
      <c r="L63" s="198" t="s">
        <v>49</v>
      </c>
      <c r="M63" s="198" t="s">
        <v>49</v>
      </c>
      <c r="N63" s="198" t="s">
        <v>55</v>
      </c>
      <c r="O63" s="198" t="s">
        <v>55</v>
      </c>
      <c r="P63" s="222" t="str">
        <f t="shared" si="2"/>
        <v>N</v>
      </c>
      <c r="Q63" s="373"/>
      <c r="R63" s="225" t="str">
        <f t="shared" si="3"/>
        <v>N</v>
      </c>
      <c r="S63" s="184"/>
      <c r="T63" s="226"/>
      <c r="U63" s="228"/>
      <c r="V63" s="228"/>
      <c r="W63" s="73" t="s">
        <v>72</v>
      </c>
      <c r="X63" s="228"/>
      <c r="Y63" s="226"/>
    </row>
    <row r="64" spans="2:25" ht="14.15" customHeight="1" x14ac:dyDescent="0.25">
      <c r="B64" s="199" t="s">
        <v>500</v>
      </c>
      <c r="C64" s="328">
        <v>-61954545</v>
      </c>
      <c r="D64" s="328">
        <v>-23727272</v>
      </c>
      <c r="E64" s="197"/>
      <c r="F64" s="198" t="s">
        <v>49</v>
      </c>
      <c r="G64" s="198" t="s">
        <v>49</v>
      </c>
      <c r="H64" s="198" t="s">
        <v>55</v>
      </c>
      <c r="I64" s="198" t="s">
        <v>49</v>
      </c>
      <c r="J64" s="198" t="s">
        <v>49</v>
      </c>
      <c r="K64" s="198" t="s">
        <v>49</v>
      </c>
      <c r="L64" s="198" t="s">
        <v>49</v>
      </c>
      <c r="M64" s="198" t="s">
        <v>49</v>
      </c>
      <c r="N64" s="198" t="s">
        <v>55</v>
      </c>
      <c r="O64" s="198" t="s">
        <v>55</v>
      </c>
      <c r="P64" s="222" t="str">
        <f t="shared" si="2"/>
        <v>N</v>
      </c>
      <c r="Q64" s="373"/>
      <c r="R64" s="225" t="str">
        <f t="shared" si="3"/>
        <v>N</v>
      </c>
      <c r="S64" s="184"/>
      <c r="T64" s="226"/>
      <c r="U64" s="228"/>
      <c r="V64" s="228"/>
      <c r="W64" s="73" t="s">
        <v>72</v>
      </c>
      <c r="X64" s="228"/>
      <c r="Y64" s="226"/>
    </row>
    <row r="65" spans="2:25" ht="14.15" customHeight="1" x14ac:dyDescent="0.25">
      <c r="B65" s="199" t="s">
        <v>501</v>
      </c>
      <c r="C65" s="340">
        <v>0</v>
      </c>
      <c r="D65" s="328">
        <v>-7308057316</v>
      </c>
      <c r="E65" s="197"/>
      <c r="F65" s="198" t="s">
        <v>49</v>
      </c>
      <c r="G65" s="198" t="s">
        <v>49</v>
      </c>
      <c r="H65" s="198" t="s">
        <v>55</v>
      </c>
      <c r="I65" s="198" t="s">
        <v>49</v>
      </c>
      <c r="J65" s="198" t="s">
        <v>49</v>
      </c>
      <c r="K65" s="198" t="s">
        <v>49</v>
      </c>
      <c r="L65" s="198" t="s">
        <v>49</v>
      </c>
      <c r="M65" s="198" t="s">
        <v>49</v>
      </c>
      <c r="N65" s="198" t="s">
        <v>55</v>
      </c>
      <c r="O65" s="198" t="s">
        <v>55</v>
      </c>
      <c r="P65" s="222" t="str">
        <f t="shared" si="2"/>
        <v>N</v>
      </c>
      <c r="Q65" s="373"/>
      <c r="R65" s="225" t="str">
        <f t="shared" si="3"/>
        <v>N</v>
      </c>
      <c r="S65" s="184"/>
      <c r="T65" s="226"/>
      <c r="U65" s="228"/>
      <c r="V65" s="228"/>
      <c r="W65" s="73" t="s">
        <v>72</v>
      </c>
      <c r="X65" s="228"/>
      <c r="Y65" s="226"/>
    </row>
    <row r="66" spans="2:25" ht="14.15" customHeight="1" x14ac:dyDescent="0.25">
      <c r="B66" s="199" t="s">
        <v>502</v>
      </c>
      <c r="C66" s="328">
        <v>-524000</v>
      </c>
      <c r="D66" s="340">
        <v>0</v>
      </c>
      <c r="E66" s="197"/>
      <c r="F66" s="198" t="s">
        <v>49</v>
      </c>
      <c r="G66" s="198" t="s">
        <v>49</v>
      </c>
      <c r="H66" s="198" t="s">
        <v>55</v>
      </c>
      <c r="I66" s="198" t="s">
        <v>49</v>
      </c>
      <c r="J66" s="198" t="s">
        <v>49</v>
      </c>
      <c r="K66" s="198" t="s">
        <v>49</v>
      </c>
      <c r="L66" s="198" t="s">
        <v>49</v>
      </c>
      <c r="M66" s="198" t="s">
        <v>49</v>
      </c>
      <c r="N66" s="198" t="s">
        <v>55</v>
      </c>
      <c r="O66" s="198" t="s">
        <v>55</v>
      </c>
      <c r="P66" s="222" t="str">
        <f t="shared" si="2"/>
        <v>N</v>
      </c>
      <c r="Q66" s="373"/>
      <c r="R66" s="225" t="str">
        <f t="shared" si="3"/>
        <v>N</v>
      </c>
      <c r="S66" s="184"/>
      <c r="T66" s="226"/>
      <c r="U66" s="228"/>
      <c r="V66" s="228"/>
      <c r="W66" s="73" t="s">
        <v>72</v>
      </c>
      <c r="X66" s="228"/>
      <c r="Y66" s="226"/>
    </row>
    <row r="67" spans="2:25" ht="14.15" customHeight="1" x14ac:dyDescent="0.25">
      <c r="B67" s="196" t="s">
        <v>279</v>
      </c>
      <c r="C67" s="327">
        <f>SUM(C68:C74)</f>
        <v>-1390473743</v>
      </c>
      <c r="D67" s="327">
        <f>SUM(D68:D74)</f>
        <v>1701322931</v>
      </c>
      <c r="E67" s="197"/>
      <c r="F67" s="198"/>
      <c r="G67" s="198"/>
      <c r="H67" s="198"/>
      <c r="I67" s="198"/>
      <c r="J67" s="198"/>
      <c r="K67" s="198"/>
      <c r="L67" s="198"/>
      <c r="M67" s="198"/>
      <c r="N67" s="198"/>
      <c r="O67" s="198"/>
      <c r="P67" s="222"/>
      <c r="Q67" s="373"/>
      <c r="R67" s="225"/>
      <c r="S67" s="184"/>
      <c r="T67" s="226"/>
      <c r="U67" s="228"/>
      <c r="V67" s="228"/>
      <c r="W67" s="228"/>
      <c r="X67" s="228"/>
      <c r="Y67" s="226"/>
    </row>
    <row r="68" spans="2:25" ht="14.15" customHeight="1" x14ac:dyDescent="0.25">
      <c r="B68" s="199" t="s">
        <v>503</v>
      </c>
      <c r="C68" s="340">
        <v>0</v>
      </c>
      <c r="D68" s="328">
        <v>4640000000</v>
      </c>
      <c r="E68" s="197"/>
      <c r="F68" s="198" t="s">
        <v>49</v>
      </c>
      <c r="G68" s="198" t="s">
        <v>49</v>
      </c>
      <c r="H68" s="198" t="s">
        <v>55</v>
      </c>
      <c r="I68" s="198" t="s">
        <v>49</v>
      </c>
      <c r="J68" s="198" t="s">
        <v>49</v>
      </c>
      <c r="K68" s="198" t="s">
        <v>49</v>
      </c>
      <c r="L68" s="198" t="s">
        <v>49</v>
      </c>
      <c r="M68" s="198" t="s">
        <v>49</v>
      </c>
      <c r="N68" s="198" t="s">
        <v>55</v>
      </c>
      <c r="O68" s="198" t="s">
        <v>55</v>
      </c>
      <c r="P68" s="222" t="str">
        <f t="shared" ref="P68:P74" si="4">IF(SUM(COUNTIF($F68:$O68,"High")*$C$12+COUNTIF($F68:$O68,"Medium")*$C$13+COUNTIF($F68:$O68,"Low")*$C$14)/10&gt;=2,"Y","N")</f>
        <v>N</v>
      </c>
      <c r="Q68" s="373"/>
      <c r="R68" s="225" t="str">
        <f t="shared" si="3"/>
        <v>N</v>
      </c>
      <c r="S68" s="184"/>
      <c r="T68" s="226"/>
      <c r="U68" s="228"/>
      <c r="V68" s="228"/>
      <c r="W68" s="73" t="s">
        <v>72</v>
      </c>
      <c r="X68" s="228"/>
      <c r="Y68" s="226"/>
    </row>
    <row r="69" spans="2:25" ht="14.15" customHeight="1" x14ac:dyDescent="0.25">
      <c r="B69" s="199" t="s">
        <v>504</v>
      </c>
      <c r="C69" s="340">
        <v>0</v>
      </c>
      <c r="D69" s="328">
        <v>127000000</v>
      </c>
      <c r="E69" s="197"/>
      <c r="F69" s="198" t="s">
        <v>49</v>
      </c>
      <c r="G69" s="198" t="s">
        <v>49</v>
      </c>
      <c r="H69" s="198" t="s">
        <v>55</v>
      </c>
      <c r="I69" s="198" t="s">
        <v>49</v>
      </c>
      <c r="J69" s="198" t="s">
        <v>49</v>
      </c>
      <c r="K69" s="198" t="s">
        <v>49</v>
      </c>
      <c r="L69" s="198" t="s">
        <v>49</v>
      </c>
      <c r="M69" s="198" t="s">
        <v>49</v>
      </c>
      <c r="N69" s="198" t="s">
        <v>55</v>
      </c>
      <c r="O69" s="198" t="s">
        <v>55</v>
      </c>
      <c r="P69" s="222" t="str">
        <f t="shared" si="4"/>
        <v>N</v>
      </c>
      <c r="Q69" s="373"/>
      <c r="R69" s="225" t="str">
        <f t="shared" si="3"/>
        <v>N</v>
      </c>
      <c r="S69" s="184"/>
      <c r="T69" s="226"/>
      <c r="U69" s="228"/>
      <c r="V69" s="228"/>
      <c r="W69" s="73" t="s">
        <v>72</v>
      </c>
      <c r="X69" s="228"/>
      <c r="Y69" s="226"/>
    </row>
    <row r="70" spans="2:25" ht="14.15" customHeight="1" x14ac:dyDescent="0.25">
      <c r="B70" s="199" t="s">
        <v>505</v>
      </c>
      <c r="C70" s="340">
        <v>0</v>
      </c>
      <c r="D70" s="328">
        <v>9810000</v>
      </c>
      <c r="E70" s="197"/>
      <c r="F70" s="198" t="s">
        <v>49</v>
      </c>
      <c r="G70" s="198" t="s">
        <v>49</v>
      </c>
      <c r="H70" s="198" t="s">
        <v>55</v>
      </c>
      <c r="I70" s="198" t="s">
        <v>49</v>
      </c>
      <c r="J70" s="198" t="s">
        <v>49</v>
      </c>
      <c r="K70" s="198" t="s">
        <v>49</v>
      </c>
      <c r="L70" s="198" t="s">
        <v>49</v>
      </c>
      <c r="M70" s="198" t="s">
        <v>49</v>
      </c>
      <c r="N70" s="198" t="s">
        <v>55</v>
      </c>
      <c r="O70" s="198" t="s">
        <v>55</v>
      </c>
      <c r="P70" s="222" t="str">
        <f t="shared" si="4"/>
        <v>N</v>
      </c>
      <c r="Q70" s="373"/>
      <c r="R70" s="225" t="str">
        <f t="shared" si="3"/>
        <v>N</v>
      </c>
      <c r="S70" s="184"/>
      <c r="T70" s="226"/>
      <c r="U70" s="228"/>
      <c r="V70" s="228"/>
      <c r="W70" s="73" t="s">
        <v>72</v>
      </c>
      <c r="X70" s="228"/>
      <c r="Y70" s="226"/>
    </row>
    <row r="71" spans="2:25" ht="14.15" customHeight="1" x14ac:dyDescent="0.25">
      <c r="B71" s="199" t="s">
        <v>506</v>
      </c>
      <c r="C71" s="328">
        <v>-980000000</v>
      </c>
      <c r="D71" s="340">
        <v>0</v>
      </c>
      <c r="E71" s="197"/>
      <c r="F71" s="198" t="s">
        <v>49</v>
      </c>
      <c r="G71" s="198" t="s">
        <v>49</v>
      </c>
      <c r="H71" s="198" t="s">
        <v>55</v>
      </c>
      <c r="I71" s="198" t="s">
        <v>49</v>
      </c>
      <c r="J71" s="198" t="s">
        <v>49</v>
      </c>
      <c r="K71" s="198" t="s">
        <v>49</v>
      </c>
      <c r="L71" s="198" t="s">
        <v>49</v>
      </c>
      <c r="M71" s="198" t="s">
        <v>49</v>
      </c>
      <c r="N71" s="198" t="s">
        <v>55</v>
      </c>
      <c r="O71" s="198" t="s">
        <v>55</v>
      </c>
      <c r="P71" s="222" t="str">
        <f t="shared" si="4"/>
        <v>N</v>
      </c>
      <c r="Q71" s="373"/>
      <c r="R71" s="225" t="str">
        <f t="shared" si="3"/>
        <v>N</v>
      </c>
      <c r="S71" s="184"/>
      <c r="T71" s="226"/>
      <c r="U71" s="228"/>
      <c r="V71" s="228"/>
      <c r="W71" s="73" t="s">
        <v>72</v>
      </c>
      <c r="X71" s="228"/>
      <c r="Y71" s="226"/>
    </row>
    <row r="72" spans="2:25" ht="14.15" customHeight="1" x14ac:dyDescent="0.25">
      <c r="B72" s="199" t="s">
        <v>507</v>
      </c>
      <c r="C72" s="328">
        <v>-4822743</v>
      </c>
      <c r="D72" s="328">
        <v>-4691886</v>
      </c>
      <c r="E72" s="197"/>
      <c r="F72" s="198" t="s">
        <v>49</v>
      </c>
      <c r="G72" s="198" t="s">
        <v>49</v>
      </c>
      <c r="H72" s="198" t="s">
        <v>55</v>
      </c>
      <c r="I72" s="198" t="s">
        <v>49</v>
      </c>
      <c r="J72" s="198" t="s">
        <v>49</v>
      </c>
      <c r="K72" s="198" t="s">
        <v>49</v>
      </c>
      <c r="L72" s="198" t="s">
        <v>49</v>
      </c>
      <c r="M72" s="198" t="s">
        <v>49</v>
      </c>
      <c r="N72" s="198" t="s">
        <v>55</v>
      </c>
      <c r="O72" s="198" t="s">
        <v>55</v>
      </c>
      <c r="P72" s="222" t="str">
        <f t="shared" si="4"/>
        <v>N</v>
      </c>
      <c r="Q72" s="373"/>
      <c r="R72" s="225" t="str">
        <f t="shared" si="3"/>
        <v>N</v>
      </c>
      <c r="S72" s="184"/>
      <c r="T72" s="226"/>
      <c r="U72" s="228"/>
      <c r="V72" s="228"/>
      <c r="W72" s="73" t="s">
        <v>72</v>
      </c>
      <c r="X72" s="228"/>
      <c r="Y72" s="226"/>
    </row>
    <row r="73" spans="2:25" ht="14.15" customHeight="1" x14ac:dyDescent="0.25">
      <c r="B73" s="199" t="s">
        <v>508</v>
      </c>
      <c r="C73" s="340">
        <v>0</v>
      </c>
      <c r="D73" s="328">
        <v>-3070795183</v>
      </c>
      <c r="E73" s="197"/>
      <c r="F73" s="198" t="s">
        <v>49</v>
      </c>
      <c r="G73" s="198" t="s">
        <v>49</v>
      </c>
      <c r="H73" s="198" t="s">
        <v>55</v>
      </c>
      <c r="I73" s="198" t="s">
        <v>49</v>
      </c>
      <c r="J73" s="198" t="s">
        <v>49</v>
      </c>
      <c r="K73" s="198" t="s">
        <v>49</v>
      </c>
      <c r="L73" s="198" t="s">
        <v>49</v>
      </c>
      <c r="M73" s="198" t="s">
        <v>49</v>
      </c>
      <c r="N73" s="198" t="s">
        <v>55</v>
      </c>
      <c r="O73" s="198" t="s">
        <v>55</v>
      </c>
      <c r="P73" s="222" t="str">
        <f t="shared" si="4"/>
        <v>N</v>
      </c>
      <c r="Q73" s="373"/>
      <c r="R73" s="225" t="str">
        <f t="shared" si="3"/>
        <v>N</v>
      </c>
      <c r="S73" s="184"/>
      <c r="T73" s="226"/>
      <c r="U73" s="228"/>
      <c r="V73" s="228"/>
      <c r="W73" s="73" t="s">
        <v>72</v>
      </c>
      <c r="X73" s="228"/>
      <c r="Y73" s="226"/>
    </row>
    <row r="74" spans="2:25" ht="13.75" customHeight="1" x14ac:dyDescent="0.25">
      <c r="B74" s="199" t="s">
        <v>509</v>
      </c>
      <c r="C74" s="328">
        <v>-405651000</v>
      </c>
      <c r="D74" s="340">
        <v>0</v>
      </c>
      <c r="E74" s="197"/>
      <c r="F74" s="198" t="s">
        <v>49</v>
      </c>
      <c r="G74" s="198" t="s">
        <v>49</v>
      </c>
      <c r="H74" s="198" t="s">
        <v>55</v>
      </c>
      <c r="I74" s="198" t="s">
        <v>49</v>
      </c>
      <c r="J74" s="198" t="s">
        <v>49</v>
      </c>
      <c r="K74" s="198" t="s">
        <v>49</v>
      </c>
      <c r="L74" s="198" t="s">
        <v>49</v>
      </c>
      <c r="M74" s="198" t="s">
        <v>49</v>
      </c>
      <c r="N74" s="198" t="s">
        <v>55</v>
      </c>
      <c r="O74" s="198" t="s">
        <v>55</v>
      </c>
      <c r="P74" s="222" t="str">
        <f t="shared" si="4"/>
        <v>N</v>
      </c>
      <c r="Q74" s="373"/>
      <c r="R74" s="225" t="str">
        <f t="shared" si="3"/>
        <v>N</v>
      </c>
      <c r="S74" s="184"/>
      <c r="T74" s="226"/>
      <c r="U74" s="228"/>
      <c r="V74" s="228"/>
      <c r="W74" s="73" t="s">
        <v>72</v>
      </c>
      <c r="X74" s="228"/>
      <c r="Y74" s="226"/>
    </row>
    <row r="75" spans="2:25" ht="14.15" customHeight="1" x14ac:dyDescent="0.25">
      <c r="B75" s="196" t="s">
        <v>312</v>
      </c>
      <c r="C75" s="327">
        <f>SUM(C19,C52,C67)</f>
        <v>-4786198089</v>
      </c>
      <c r="D75" s="327">
        <f>SUM(D19,D52,D67)</f>
        <v>-804054680</v>
      </c>
      <c r="E75" s="197"/>
      <c r="F75" s="198"/>
      <c r="G75" s="198"/>
      <c r="H75" s="198"/>
      <c r="I75" s="198"/>
      <c r="J75" s="198"/>
      <c r="K75" s="198"/>
      <c r="L75" s="198"/>
      <c r="M75" s="198"/>
      <c r="N75" s="198"/>
      <c r="O75" s="198"/>
      <c r="P75" s="222"/>
      <c r="Q75" s="373"/>
      <c r="R75" s="225"/>
      <c r="S75" s="184"/>
      <c r="T75" s="226"/>
      <c r="U75" s="228"/>
      <c r="V75" s="228"/>
      <c r="W75" s="228"/>
      <c r="X75" s="228"/>
      <c r="Y75" s="226"/>
    </row>
    <row r="76" spans="2:25" ht="14.15" customHeight="1" x14ac:dyDescent="0.25">
      <c r="B76" s="196" t="s">
        <v>280</v>
      </c>
      <c r="C76" s="327">
        <v>10824294574</v>
      </c>
      <c r="D76" s="327">
        <v>11632062397</v>
      </c>
      <c r="E76" s="197"/>
      <c r="F76" s="198" t="s">
        <v>49</v>
      </c>
      <c r="G76" s="198" t="s">
        <v>49</v>
      </c>
      <c r="H76" s="198" t="s">
        <v>55</v>
      </c>
      <c r="I76" s="198" t="s">
        <v>49</v>
      </c>
      <c r="J76" s="198" t="s">
        <v>49</v>
      </c>
      <c r="K76" s="198" t="s">
        <v>49</v>
      </c>
      <c r="L76" s="198" t="s">
        <v>49</v>
      </c>
      <c r="M76" s="198" t="s">
        <v>49</v>
      </c>
      <c r="N76" s="198" t="s">
        <v>55</v>
      </c>
      <c r="O76" s="198" t="s">
        <v>55</v>
      </c>
      <c r="P76" s="222" t="str">
        <f t="shared" ref="P76:P77" si="5">IF(SUM(COUNTIF($F76:$O76,"High")*$C$12+COUNTIF($F76:$O76,"Medium")*$C$13+COUNTIF($F76:$O76,"Low")*$C$14)/10&gt;=2,"Y","N")</f>
        <v>N</v>
      </c>
      <c r="Q76" s="373"/>
      <c r="R76" s="225" t="str">
        <f t="shared" ref="R76:R77" si="6">IF(COUNTIF($E76:$P76,"Y")&gt;0,"Y","N")</f>
        <v>N</v>
      </c>
      <c r="S76" s="184"/>
      <c r="T76" s="226"/>
      <c r="U76" s="228"/>
      <c r="V76" s="228"/>
      <c r="W76" s="73" t="s">
        <v>72</v>
      </c>
      <c r="X76" s="228"/>
      <c r="Y76" s="226"/>
    </row>
    <row r="77" spans="2:25" ht="14.15" customHeight="1" x14ac:dyDescent="0.25">
      <c r="B77" s="196" t="s">
        <v>313</v>
      </c>
      <c r="C77" s="327">
        <v>-32440754</v>
      </c>
      <c r="D77" s="327">
        <v>-3713143</v>
      </c>
      <c r="E77" s="197"/>
      <c r="F77" s="198" t="s">
        <v>49</v>
      </c>
      <c r="G77" s="198" t="s">
        <v>49</v>
      </c>
      <c r="H77" s="198" t="s">
        <v>55</v>
      </c>
      <c r="I77" s="198" t="s">
        <v>49</v>
      </c>
      <c r="J77" s="198" t="s">
        <v>49</v>
      </c>
      <c r="K77" s="198" t="s">
        <v>49</v>
      </c>
      <c r="L77" s="198" t="s">
        <v>49</v>
      </c>
      <c r="M77" s="198" t="s">
        <v>49</v>
      </c>
      <c r="N77" s="198" t="s">
        <v>55</v>
      </c>
      <c r="O77" s="198" t="s">
        <v>55</v>
      </c>
      <c r="P77" s="222" t="str">
        <f t="shared" si="5"/>
        <v>N</v>
      </c>
      <c r="Q77" s="373"/>
      <c r="R77" s="225" t="str">
        <f t="shared" si="6"/>
        <v>N</v>
      </c>
      <c r="S77" s="184"/>
      <c r="T77" s="226"/>
      <c r="U77" s="228"/>
      <c r="V77" s="228"/>
      <c r="W77" s="73" t="s">
        <v>72</v>
      </c>
      <c r="X77" s="228"/>
      <c r="Y77" s="226"/>
    </row>
    <row r="78" spans="2:25" ht="14.15" customHeight="1" x14ac:dyDescent="0.25">
      <c r="B78" s="196" t="s">
        <v>314</v>
      </c>
      <c r="C78" s="327">
        <f>SUM(C75:C77)</f>
        <v>6005655731</v>
      </c>
      <c r="D78" s="327">
        <f>SUM(D75:D77)</f>
        <v>10824294574</v>
      </c>
      <c r="E78" s="197"/>
      <c r="F78" s="198"/>
      <c r="G78" s="198"/>
      <c r="H78" s="198"/>
      <c r="I78" s="198"/>
      <c r="J78" s="198"/>
      <c r="K78" s="198"/>
      <c r="L78" s="198"/>
      <c r="M78" s="198"/>
      <c r="N78" s="198"/>
      <c r="O78" s="198"/>
      <c r="P78" s="222"/>
      <c r="Q78" s="374"/>
      <c r="R78" s="225"/>
      <c r="S78" s="184"/>
      <c r="T78" s="226"/>
      <c r="U78" s="228"/>
      <c r="V78" s="228"/>
      <c r="W78" s="228"/>
      <c r="X78" s="228"/>
      <c r="Y78" s="226"/>
    </row>
    <row r="79" spans="2:25" x14ac:dyDescent="0.25">
      <c r="C79" s="184" t="b">
        <f>C78='2.1 유의한 계정과목(BS)'!C21</f>
        <v>1</v>
      </c>
      <c r="D79" s="184" t="b">
        <f>D78='2.1 유의한 계정과목(BS)'!D21</f>
        <v>1</v>
      </c>
      <c r="G79" s="184"/>
      <c r="H79" s="184"/>
      <c r="I79" s="184"/>
      <c r="J79" s="184"/>
      <c r="K79" s="184"/>
      <c r="L79" s="184"/>
      <c r="M79" s="184"/>
      <c r="N79" s="184"/>
      <c r="O79" s="184"/>
      <c r="P79" s="184"/>
    </row>
    <row r="80" spans="2:25" x14ac:dyDescent="0.25">
      <c r="B80" s="6" t="s">
        <v>211</v>
      </c>
      <c r="G80" s="184"/>
      <c r="H80" s="184"/>
      <c r="I80" s="184"/>
      <c r="J80" s="184"/>
      <c r="K80" s="184"/>
      <c r="L80" s="184"/>
      <c r="M80" s="184"/>
      <c r="N80" s="184"/>
      <c r="O80" s="184"/>
      <c r="P80" s="184"/>
      <c r="Q80" s="184"/>
      <c r="R80" s="184"/>
    </row>
    <row r="81" spans="2:18" x14ac:dyDescent="0.25">
      <c r="B81" s="6"/>
      <c r="G81" s="184"/>
      <c r="H81" s="184"/>
      <c r="I81" s="184"/>
      <c r="J81" s="184"/>
      <c r="K81" s="184"/>
      <c r="L81" s="184"/>
      <c r="M81" s="184"/>
      <c r="N81" s="184"/>
      <c r="O81" s="184"/>
      <c r="P81" s="184"/>
      <c r="Q81" s="184"/>
      <c r="R81" s="184"/>
    </row>
    <row r="82" spans="2:18" x14ac:dyDescent="0.25">
      <c r="G82" s="184"/>
      <c r="H82" s="184"/>
      <c r="I82" s="184"/>
      <c r="J82" s="184"/>
      <c r="K82" s="184"/>
      <c r="L82" s="184"/>
      <c r="M82" s="184"/>
      <c r="N82" s="184"/>
      <c r="O82" s="184"/>
      <c r="P82" s="184"/>
      <c r="Q82" s="184"/>
      <c r="R82" s="184"/>
    </row>
    <row r="83" spans="2:18" x14ac:dyDescent="0.25">
      <c r="B83" s="200" t="s">
        <v>186</v>
      </c>
      <c r="G83" s="184"/>
      <c r="H83" s="184"/>
      <c r="I83" s="184"/>
      <c r="J83" s="184"/>
      <c r="K83" s="184"/>
      <c r="L83" s="184"/>
      <c r="M83" s="184"/>
      <c r="N83" s="184"/>
      <c r="O83" s="184"/>
      <c r="P83" s="184"/>
      <c r="Q83" s="184"/>
      <c r="R83" s="184"/>
    </row>
    <row r="84" spans="2:18" ht="111" customHeight="1" x14ac:dyDescent="0.25">
      <c r="B84" s="371" t="s">
        <v>180</v>
      </c>
      <c r="C84" s="371"/>
      <c r="D84" s="371"/>
      <c r="E84" s="371"/>
      <c r="F84" s="371"/>
      <c r="G84" s="371"/>
      <c r="H84" s="184"/>
      <c r="I84" s="184"/>
      <c r="J84" s="184"/>
      <c r="K84" s="184"/>
      <c r="L84" s="184"/>
      <c r="M84" s="184"/>
      <c r="N84" s="184"/>
      <c r="O84" s="184"/>
      <c r="P84" s="184"/>
      <c r="Q84" s="184"/>
      <c r="R84" s="184"/>
    </row>
    <row r="85" spans="2:18" x14ac:dyDescent="0.25">
      <c r="G85" s="184"/>
      <c r="H85" s="184"/>
      <c r="I85" s="184"/>
      <c r="J85" s="184"/>
      <c r="K85" s="184"/>
      <c r="L85" s="184"/>
      <c r="M85" s="184"/>
      <c r="N85" s="184"/>
      <c r="O85" s="184"/>
      <c r="P85" s="184"/>
      <c r="Q85" s="184"/>
      <c r="R85" s="184"/>
    </row>
    <row r="86" spans="2:18" x14ac:dyDescent="0.25">
      <c r="G86" s="184"/>
      <c r="H86" s="184"/>
      <c r="I86" s="184"/>
      <c r="J86" s="184"/>
      <c r="K86" s="184"/>
      <c r="L86" s="184"/>
      <c r="M86" s="184"/>
      <c r="N86" s="184"/>
      <c r="O86" s="184"/>
      <c r="P86" s="184"/>
      <c r="Q86" s="184"/>
      <c r="R86" s="184"/>
    </row>
    <row r="87" spans="2:18" x14ac:dyDescent="0.25">
      <c r="G87" s="184"/>
      <c r="H87" s="184"/>
      <c r="I87" s="184"/>
      <c r="J87" s="184"/>
      <c r="K87" s="184"/>
      <c r="L87" s="184"/>
      <c r="M87" s="184"/>
      <c r="N87" s="184"/>
      <c r="O87" s="184"/>
      <c r="P87" s="184"/>
      <c r="Q87" s="184"/>
      <c r="R87" s="184"/>
    </row>
    <row r="88" spans="2:18" x14ac:dyDescent="0.25">
      <c r="G88" s="184"/>
      <c r="H88" s="184"/>
      <c r="I88" s="184"/>
      <c r="J88" s="184"/>
      <c r="K88" s="184"/>
      <c r="L88" s="184"/>
      <c r="M88" s="184"/>
      <c r="N88" s="184"/>
      <c r="O88" s="184"/>
      <c r="P88" s="184"/>
      <c r="Q88" s="184"/>
      <c r="R88" s="184"/>
    </row>
    <row r="89" spans="2:18" x14ac:dyDescent="0.25">
      <c r="G89" s="184"/>
      <c r="H89" s="184"/>
      <c r="I89" s="184"/>
      <c r="J89" s="184"/>
      <c r="K89" s="184"/>
      <c r="L89" s="184"/>
      <c r="M89" s="184"/>
      <c r="N89" s="184"/>
      <c r="O89" s="184"/>
      <c r="P89" s="184"/>
      <c r="Q89" s="184"/>
      <c r="R89" s="184"/>
    </row>
    <row r="90" spans="2:18" x14ac:dyDescent="0.25">
      <c r="G90" s="184"/>
      <c r="H90" s="184"/>
      <c r="I90" s="184"/>
      <c r="J90" s="184"/>
      <c r="K90" s="184"/>
      <c r="L90" s="184"/>
      <c r="M90" s="184"/>
      <c r="N90" s="184"/>
      <c r="O90" s="184"/>
      <c r="P90" s="184"/>
      <c r="Q90" s="184"/>
      <c r="R90" s="184"/>
    </row>
    <row r="91" spans="2:18" x14ac:dyDescent="0.25">
      <c r="G91" s="184"/>
      <c r="H91" s="184"/>
      <c r="I91" s="184"/>
      <c r="J91" s="184"/>
      <c r="K91" s="184"/>
      <c r="L91" s="184"/>
      <c r="M91" s="184"/>
      <c r="N91" s="184"/>
      <c r="O91" s="184"/>
      <c r="P91" s="184"/>
      <c r="Q91" s="184"/>
      <c r="R91" s="184"/>
    </row>
    <row r="92" spans="2:18" x14ac:dyDescent="0.25">
      <c r="G92" s="184"/>
      <c r="H92" s="184"/>
      <c r="I92" s="184"/>
      <c r="J92" s="184"/>
      <c r="K92" s="184"/>
      <c r="L92" s="184"/>
      <c r="M92" s="184"/>
      <c r="N92" s="184"/>
      <c r="O92" s="184"/>
      <c r="P92" s="184"/>
      <c r="Q92" s="184"/>
      <c r="R92" s="184"/>
    </row>
    <row r="93" spans="2:18" x14ac:dyDescent="0.25">
      <c r="G93" s="184"/>
      <c r="H93" s="184"/>
      <c r="I93" s="184"/>
      <c r="J93" s="184"/>
      <c r="K93" s="184"/>
      <c r="L93" s="184"/>
      <c r="M93" s="184"/>
      <c r="N93" s="184"/>
      <c r="O93" s="184"/>
      <c r="P93" s="184"/>
      <c r="Q93" s="184"/>
      <c r="R93" s="184"/>
    </row>
    <row r="94" spans="2:18" x14ac:dyDescent="0.25">
      <c r="G94" s="184"/>
      <c r="H94" s="184"/>
      <c r="I94" s="184"/>
      <c r="J94" s="184"/>
      <c r="K94" s="184"/>
      <c r="L94" s="184"/>
      <c r="M94" s="184"/>
      <c r="N94" s="184"/>
      <c r="O94" s="184"/>
      <c r="P94" s="184"/>
      <c r="Q94" s="184"/>
      <c r="R94" s="184"/>
    </row>
    <row r="95" spans="2:18" x14ac:dyDescent="0.25">
      <c r="G95" s="184"/>
      <c r="H95" s="184"/>
      <c r="I95" s="184"/>
      <c r="J95" s="184"/>
      <c r="K95" s="184"/>
      <c r="L95" s="184"/>
      <c r="M95" s="184"/>
      <c r="N95" s="184"/>
      <c r="O95" s="184"/>
      <c r="P95" s="184"/>
      <c r="Q95" s="184"/>
      <c r="R95" s="184"/>
    </row>
    <row r="96" spans="2:18" x14ac:dyDescent="0.25">
      <c r="G96" s="184"/>
      <c r="H96" s="184"/>
      <c r="I96" s="184"/>
      <c r="J96" s="184"/>
      <c r="K96" s="184"/>
      <c r="L96" s="184"/>
      <c r="M96" s="184"/>
      <c r="N96" s="184"/>
      <c r="O96" s="184"/>
      <c r="P96" s="184"/>
      <c r="Q96" s="184"/>
      <c r="R96" s="184"/>
    </row>
    <row r="97" spans="4:18" x14ac:dyDescent="0.25">
      <c r="G97" s="184"/>
      <c r="H97" s="184"/>
      <c r="I97" s="184"/>
      <c r="J97" s="184"/>
      <c r="K97" s="184"/>
      <c r="L97" s="184"/>
      <c r="M97" s="184"/>
      <c r="N97" s="184"/>
      <c r="O97" s="184"/>
      <c r="P97" s="184"/>
      <c r="Q97" s="184"/>
      <c r="R97" s="184"/>
    </row>
    <row r="98" spans="4:18" x14ac:dyDescent="0.25">
      <c r="D98" s="184"/>
    </row>
    <row r="99" spans="4:18" x14ac:dyDescent="0.25">
      <c r="D99" s="184"/>
    </row>
    <row r="100" spans="4:18" x14ac:dyDescent="0.25">
      <c r="D100" s="184"/>
    </row>
  </sheetData>
  <autoFilter ref="A17:Y80" xr:uid="{00000000-0001-0000-0700-00000000000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3">
    <mergeCell ref="F17:O17"/>
    <mergeCell ref="B84:G84"/>
    <mergeCell ref="Q18:Q78"/>
  </mergeCells>
  <phoneticPr fontId="18" type="noConversion"/>
  <conditionalFormatting sqref="E19:E78 R21:R78 P22:P78">
    <cfRule type="containsText" dxfId="8" priority="28" operator="containsText" text="Y">
      <formula>NOT(ISERROR(SEARCH("Y",E19)))</formula>
    </cfRule>
  </conditionalFormatting>
  <conditionalFormatting sqref="F21:O78">
    <cfRule type="expression" dxfId="7" priority="226">
      <formula>$E21="Y"</formula>
    </cfRule>
  </conditionalFormatting>
  <conditionalFormatting sqref="F21:P78">
    <cfRule type="expression" dxfId="6" priority="217">
      <formula>$E21="Y"</formula>
    </cfRule>
  </conditionalFormatting>
  <conditionalFormatting sqref="P21:P23">
    <cfRule type="containsText" dxfId="5" priority="228" operator="containsText" text="Y">
      <formula>NOT(ISERROR(SEARCH("Y",P21)))</formula>
    </cfRule>
  </conditionalFormatting>
  <conditionalFormatting sqref="Q18">
    <cfRule type="expression" dxfId="4" priority="1932">
      <formula>#REF!=""</formula>
    </cfRule>
    <cfRule type="expression" dxfId="3" priority="1933">
      <formula>#REF!="Y"</formula>
    </cfRule>
  </conditionalFormatting>
  <dataValidations count="2">
    <dataValidation type="list" allowBlank="1" showInputMessage="1" showErrorMessage="1" sqref="T23:W23 T21:X22 Y18:Y78 T24:T78 W24:X39 W41:W51 W53:W66 W68:W74 W76:W77" xr:uid="{00000000-0002-0000-0700-000000000000}">
      <formula1>"O"</formula1>
    </dataValidation>
    <dataValidation type="list" allowBlank="1" showInputMessage="1" showErrorMessage="1" sqref="F21:O78" xr:uid="{00000000-0002-0000-0700-000001000000}">
      <formula1>$B$12:$B$14</formula1>
    </dataValidation>
  </dataValidations>
  <pageMargins left="0.7" right="0.7" top="0.75" bottom="0.75" header="0.3" footer="0.3"/>
  <pageSetup paperSize="9" orientation="landscape"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dimension ref="B2:L173"/>
  <sheetViews>
    <sheetView showGridLines="0" zoomScale="85" zoomScaleNormal="85" workbookViewId="0">
      <pane xSplit="6" ySplit="5" topLeftCell="G6" activePane="bottomRight" state="frozen"/>
      <selection pane="topRight" activeCell="G1" sqref="G1"/>
      <selection pane="bottomLeft" activeCell="A6" sqref="A6"/>
      <selection pane="bottomRight" activeCell="H33" sqref="H33"/>
    </sheetView>
  </sheetViews>
  <sheetFormatPr defaultColWidth="9" defaultRowHeight="16" x14ac:dyDescent="0.25"/>
  <cols>
    <col min="1" max="1" width="3.33203125" style="249" customWidth="1"/>
    <col min="2" max="2" width="13.1640625" style="246" customWidth="1"/>
    <col min="3" max="3" width="59.5" style="247" customWidth="1"/>
    <col min="4" max="4" width="13.1640625" style="247" customWidth="1"/>
    <col min="5" max="5" width="13.1640625" style="246" customWidth="1"/>
    <col min="6" max="6" width="24.08203125" style="246" customWidth="1"/>
    <col min="7" max="9" width="9.83203125" style="248" customWidth="1"/>
    <col min="10" max="10" width="10.6640625" style="246" customWidth="1"/>
    <col min="11" max="11" width="44" style="248" customWidth="1"/>
    <col min="12" max="16384" width="9" style="249"/>
  </cols>
  <sheetData>
    <row r="2" spans="2:12" x14ac:dyDescent="0.25">
      <c r="B2" s="244" t="s">
        <v>222</v>
      </c>
    </row>
    <row r="3" spans="2:12" ht="6.75" customHeight="1" x14ac:dyDescent="0.25"/>
    <row r="4" spans="2:12" x14ac:dyDescent="0.25">
      <c r="B4" s="376" t="s">
        <v>226</v>
      </c>
      <c r="C4" s="377"/>
      <c r="D4" s="377"/>
      <c r="E4" s="377"/>
      <c r="F4" s="377"/>
      <c r="G4" s="378" t="s">
        <v>227</v>
      </c>
      <c r="H4" s="379"/>
      <c r="I4" s="380"/>
      <c r="J4" s="375" t="s">
        <v>216</v>
      </c>
      <c r="K4" s="375"/>
    </row>
    <row r="5" spans="2:12" s="251" customFormat="1" ht="78.75" customHeight="1" x14ac:dyDescent="0.45">
      <c r="B5" s="304" t="s">
        <v>221</v>
      </c>
      <c r="C5" s="304" t="s">
        <v>224</v>
      </c>
      <c r="D5" s="304" t="s">
        <v>225</v>
      </c>
      <c r="E5" s="304" t="s">
        <v>230</v>
      </c>
      <c r="F5" s="304" t="s">
        <v>223</v>
      </c>
      <c r="G5" s="315" t="s">
        <v>231</v>
      </c>
      <c r="H5" s="315" t="s">
        <v>223</v>
      </c>
      <c r="I5" s="315" t="s">
        <v>228</v>
      </c>
      <c r="J5" s="314" t="s">
        <v>233</v>
      </c>
      <c r="K5" s="314" t="s">
        <v>234</v>
      </c>
      <c r="L5" s="250"/>
    </row>
    <row r="6" spans="2:12" s="245" customFormat="1" ht="14.15" customHeight="1" x14ac:dyDescent="0.25">
      <c r="B6" s="254"/>
      <c r="C6" s="254"/>
      <c r="D6" s="254"/>
      <c r="E6" s="254"/>
      <c r="F6" s="254"/>
      <c r="G6" s="255"/>
      <c r="H6" s="255"/>
      <c r="I6" s="255"/>
      <c r="J6" s="254"/>
      <c r="K6" s="254"/>
    </row>
    <row r="7" spans="2:12" s="245" customFormat="1" ht="14.15" customHeight="1" x14ac:dyDescent="0.25">
      <c r="B7" s="254" t="s">
        <v>547</v>
      </c>
      <c r="C7" s="254" t="s">
        <v>333</v>
      </c>
      <c r="D7" s="254" t="s">
        <v>217</v>
      </c>
      <c r="E7" s="254" t="s">
        <v>229</v>
      </c>
      <c r="F7" s="254" t="s">
        <v>219</v>
      </c>
      <c r="G7" s="255" t="s">
        <v>219</v>
      </c>
      <c r="H7" s="255" t="s">
        <v>219</v>
      </c>
      <c r="I7" s="255"/>
      <c r="J7" s="394" t="s">
        <v>235</v>
      </c>
      <c r="K7" s="395" t="s">
        <v>767</v>
      </c>
    </row>
    <row r="8" spans="2:12" s="245" customFormat="1" ht="14.15" customHeight="1" x14ac:dyDescent="0.25">
      <c r="B8" s="254" t="s">
        <v>548</v>
      </c>
      <c r="C8" s="254" t="s">
        <v>334</v>
      </c>
      <c r="D8" s="254" t="s">
        <v>217</v>
      </c>
      <c r="E8" s="254" t="s">
        <v>229</v>
      </c>
      <c r="F8" s="254" t="s">
        <v>219</v>
      </c>
      <c r="G8" s="255" t="s">
        <v>219</v>
      </c>
      <c r="H8" s="255" t="s">
        <v>219</v>
      </c>
      <c r="I8" s="255"/>
      <c r="J8" s="394" t="s">
        <v>235</v>
      </c>
      <c r="K8" s="395" t="s">
        <v>767</v>
      </c>
    </row>
    <row r="9" spans="2:12" s="245" customFormat="1" ht="14.15" customHeight="1" x14ac:dyDescent="0.25">
      <c r="B9" s="254" t="s">
        <v>549</v>
      </c>
      <c r="C9" s="254" t="s">
        <v>335</v>
      </c>
      <c r="D9" s="254" t="s">
        <v>217</v>
      </c>
      <c r="E9" s="254" t="s">
        <v>229</v>
      </c>
      <c r="F9" s="254" t="s">
        <v>219</v>
      </c>
      <c r="G9" s="255" t="s">
        <v>219</v>
      </c>
      <c r="H9" s="255" t="s">
        <v>219</v>
      </c>
      <c r="I9" s="255"/>
      <c r="J9" s="394" t="s">
        <v>235</v>
      </c>
      <c r="K9" s="395" t="s">
        <v>767</v>
      </c>
    </row>
    <row r="10" spans="2:12" s="245" customFormat="1" ht="14.15" customHeight="1" x14ac:dyDescent="0.25">
      <c r="B10" s="254" t="s">
        <v>550</v>
      </c>
      <c r="C10" s="254" t="s">
        <v>336</v>
      </c>
      <c r="D10" s="254" t="s">
        <v>217</v>
      </c>
      <c r="E10" s="254" t="s">
        <v>229</v>
      </c>
      <c r="F10" s="254" t="s">
        <v>219</v>
      </c>
      <c r="G10" s="255" t="s">
        <v>219</v>
      </c>
      <c r="H10" s="255" t="s">
        <v>219</v>
      </c>
      <c r="I10" s="255"/>
      <c r="J10" s="394" t="s">
        <v>235</v>
      </c>
      <c r="K10" s="395" t="s">
        <v>767</v>
      </c>
    </row>
    <row r="11" spans="2:12" s="245" customFormat="1" ht="14.15" customHeight="1" x14ac:dyDescent="0.25">
      <c r="B11" s="254" t="s">
        <v>551</v>
      </c>
      <c r="C11" s="254" t="s">
        <v>337</v>
      </c>
      <c r="D11" s="254" t="s">
        <v>217</v>
      </c>
      <c r="E11" s="254" t="s">
        <v>229</v>
      </c>
      <c r="F11" s="254" t="s">
        <v>219</v>
      </c>
      <c r="G11" s="255" t="s">
        <v>219</v>
      </c>
      <c r="H11" s="255" t="s">
        <v>219</v>
      </c>
      <c r="I11" s="255"/>
      <c r="J11" s="394" t="s">
        <v>235</v>
      </c>
      <c r="K11" s="395" t="s">
        <v>767</v>
      </c>
    </row>
    <row r="12" spans="2:12" s="245" customFormat="1" ht="14.15" customHeight="1" x14ac:dyDescent="0.25">
      <c r="B12" s="254" t="s">
        <v>552</v>
      </c>
      <c r="C12" s="254" t="s">
        <v>338</v>
      </c>
      <c r="D12" s="254" t="s">
        <v>217</v>
      </c>
      <c r="E12" s="254" t="s">
        <v>229</v>
      </c>
      <c r="F12" s="254" t="s">
        <v>219</v>
      </c>
      <c r="G12" s="255" t="s">
        <v>219</v>
      </c>
      <c r="H12" s="255" t="s">
        <v>219</v>
      </c>
      <c r="I12" s="255"/>
      <c r="J12" s="394" t="s">
        <v>235</v>
      </c>
      <c r="K12" s="395" t="s">
        <v>767</v>
      </c>
    </row>
    <row r="13" spans="2:12" s="245" customFormat="1" ht="14.15" customHeight="1" x14ac:dyDescent="0.25">
      <c r="B13" s="254" t="s">
        <v>553</v>
      </c>
      <c r="C13" s="254" t="s">
        <v>339</v>
      </c>
      <c r="D13" s="254" t="s">
        <v>217</v>
      </c>
      <c r="E13" s="254" t="s">
        <v>229</v>
      </c>
      <c r="F13" s="254" t="s">
        <v>219</v>
      </c>
      <c r="G13" s="255" t="s">
        <v>219</v>
      </c>
      <c r="H13" s="255" t="s">
        <v>219</v>
      </c>
      <c r="I13" s="255"/>
      <c r="J13" s="394" t="s">
        <v>235</v>
      </c>
      <c r="K13" s="395" t="s">
        <v>767</v>
      </c>
    </row>
    <row r="14" spans="2:12" s="245" customFormat="1" ht="14.15" customHeight="1" x14ac:dyDescent="0.25">
      <c r="B14" s="254" t="s">
        <v>554</v>
      </c>
      <c r="C14" s="254" t="s">
        <v>340</v>
      </c>
      <c r="D14" s="254" t="s">
        <v>217</v>
      </c>
      <c r="E14" s="254" t="s">
        <v>229</v>
      </c>
      <c r="F14" s="254" t="s">
        <v>219</v>
      </c>
      <c r="G14" s="254" t="s">
        <v>219</v>
      </c>
      <c r="H14" s="254" t="s">
        <v>219</v>
      </c>
      <c r="I14" s="254"/>
      <c r="J14" s="394" t="s">
        <v>235</v>
      </c>
      <c r="K14" s="395" t="s">
        <v>767</v>
      </c>
    </row>
    <row r="15" spans="2:12" s="245" customFormat="1" ht="14.15" customHeight="1" x14ac:dyDescent="0.25">
      <c r="B15" s="254" t="s">
        <v>555</v>
      </c>
      <c r="C15" s="254" t="s">
        <v>341</v>
      </c>
      <c r="D15" s="254" t="s">
        <v>217</v>
      </c>
      <c r="E15" s="254" t="s">
        <v>229</v>
      </c>
      <c r="F15" s="254" t="s">
        <v>219</v>
      </c>
      <c r="G15" s="255" t="s">
        <v>219</v>
      </c>
      <c r="H15" s="255" t="s">
        <v>219</v>
      </c>
      <c r="I15" s="255"/>
      <c r="J15" s="394" t="s">
        <v>235</v>
      </c>
      <c r="K15" s="395" t="s">
        <v>767</v>
      </c>
    </row>
    <row r="16" spans="2:12" s="245" customFormat="1" ht="14.15" customHeight="1" x14ac:dyDescent="0.25">
      <c r="B16" s="254" t="s">
        <v>556</v>
      </c>
      <c r="C16" s="254" t="s">
        <v>342</v>
      </c>
      <c r="D16" s="254" t="s">
        <v>217</v>
      </c>
      <c r="E16" s="254" t="s">
        <v>229</v>
      </c>
      <c r="F16" s="254" t="s">
        <v>219</v>
      </c>
      <c r="G16" s="255" t="s">
        <v>219</v>
      </c>
      <c r="H16" s="255" t="s">
        <v>219</v>
      </c>
      <c r="I16" s="255"/>
      <c r="J16" s="394" t="s">
        <v>235</v>
      </c>
      <c r="K16" s="395" t="s">
        <v>767</v>
      </c>
    </row>
    <row r="17" spans="2:11" s="245" customFormat="1" ht="14.15" customHeight="1" x14ac:dyDescent="0.25">
      <c r="B17" s="254" t="s">
        <v>557</v>
      </c>
      <c r="C17" s="254" t="s">
        <v>343</v>
      </c>
      <c r="D17" s="254" t="s">
        <v>217</v>
      </c>
      <c r="E17" s="254" t="s">
        <v>229</v>
      </c>
      <c r="F17" s="254" t="s">
        <v>219</v>
      </c>
      <c r="G17" s="255" t="s">
        <v>219</v>
      </c>
      <c r="H17" s="255" t="s">
        <v>219</v>
      </c>
      <c r="I17" s="255"/>
      <c r="J17" s="394" t="s">
        <v>235</v>
      </c>
      <c r="K17" s="395" t="s">
        <v>767</v>
      </c>
    </row>
    <row r="18" spans="2:11" s="245" customFormat="1" ht="14.15" customHeight="1" x14ac:dyDescent="0.25">
      <c r="B18" s="254" t="s">
        <v>558</v>
      </c>
      <c r="C18" s="254" t="s">
        <v>344</v>
      </c>
      <c r="D18" s="254" t="s">
        <v>217</v>
      </c>
      <c r="E18" s="254" t="s">
        <v>229</v>
      </c>
      <c r="F18" s="254" t="s">
        <v>219</v>
      </c>
      <c r="G18" s="255" t="s">
        <v>219</v>
      </c>
      <c r="H18" s="255" t="s">
        <v>219</v>
      </c>
      <c r="I18" s="255"/>
      <c r="J18" s="394" t="s">
        <v>235</v>
      </c>
      <c r="K18" s="395" t="s">
        <v>767</v>
      </c>
    </row>
    <row r="19" spans="2:11" s="245" customFormat="1" ht="14.15" customHeight="1" x14ac:dyDescent="0.25">
      <c r="B19" s="254" t="s">
        <v>559</v>
      </c>
      <c r="C19" s="254" t="s">
        <v>345</v>
      </c>
      <c r="D19" s="254" t="s">
        <v>217</v>
      </c>
      <c r="E19" s="254" t="s">
        <v>229</v>
      </c>
      <c r="F19" s="254" t="s">
        <v>219</v>
      </c>
      <c r="G19" s="255" t="s">
        <v>219</v>
      </c>
      <c r="H19" s="255" t="s">
        <v>219</v>
      </c>
      <c r="I19" s="255"/>
      <c r="J19" s="394" t="s">
        <v>235</v>
      </c>
      <c r="K19" s="395" t="s">
        <v>767</v>
      </c>
    </row>
    <row r="20" spans="2:11" s="245" customFormat="1" ht="14.15" customHeight="1" x14ac:dyDescent="0.25">
      <c r="B20" s="254" t="s">
        <v>560</v>
      </c>
      <c r="C20" s="254" t="s">
        <v>346</v>
      </c>
      <c r="D20" s="254" t="s">
        <v>217</v>
      </c>
      <c r="E20" s="254" t="s">
        <v>229</v>
      </c>
      <c r="F20" s="254" t="s">
        <v>219</v>
      </c>
      <c r="G20" s="255" t="s">
        <v>219</v>
      </c>
      <c r="H20" s="255" t="s">
        <v>219</v>
      </c>
      <c r="I20" s="255"/>
      <c r="J20" s="394" t="s">
        <v>235</v>
      </c>
      <c r="K20" s="395" t="s">
        <v>767</v>
      </c>
    </row>
    <row r="21" spans="2:11" s="245" customFormat="1" ht="14.15" customHeight="1" x14ac:dyDescent="0.25">
      <c r="B21" s="254" t="s">
        <v>561</v>
      </c>
      <c r="C21" s="254" t="s">
        <v>347</v>
      </c>
      <c r="D21" s="254" t="s">
        <v>217</v>
      </c>
      <c r="E21" s="254" t="s">
        <v>229</v>
      </c>
      <c r="F21" s="254" t="s">
        <v>219</v>
      </c>
      <c r="G21" s="255" t="s">
        <v>219</v>
      </c>
      <c r="H21" s="255" t="s">
        <v>219</v>
      </c>
      <c r="I21" s="255"/>
      <c r="J21" s="394" t="s">
        <v>235</v>
      </c>
      <c r="K21" s="395" t="s">
        <v>767</v>
      </c>
    </row>
    <row r="22" spans="2:11" s="245" customFormat="1" ht="14.15" customHeight="1" x14ac:dyDescent="0.25">
      <c r="B22" s="254" t="s">
        <v>562</v>
      </c>
      <c r="C22" s="254" t="s">
        <v>348</v>
      </c>
      <c r="D22" s="254" t="s">
        <v>217</v>
      </c>
      <c r="E22" s="254" t="s">
        <v>229</v>
      </c>
      <c r="F22" s="254" t="s">
        <v>219</v>
      </c>
      <c r="G22" s="255" t="s">
        <v>219</v>
      </c>
      <c r="H22" s="255" t="s">
        <v>219</v>
      </c>
      <c r="I22" s="255"/>
      <c r="J22" s="394" t="s">
        <v>235</v>
      </c>
      <c r="K22" s="395" t="s">
        <v>767</v>
      </c>
    </row>
    <row r="23" spans="2:11" s="245" customFormat="1" ht="14.15" customHeight="1" x14ac:dyDescent="0.25">
      <c r="B23" s="254" t="s">
        <v>563</v>
      </c>
      <c r="C23" s="254" t="s">
        <v>349</v>
      </c>
      <c r="D23" s="254" t="s">
        <v>217</v>
      </c>
      <c r="E23" s="254" t="s">
        <v>229</v>
      </c>
      <c r="F23" s="254" t="s">
        <v>219</v>
      </c>
      <c r="G23" s="255" t="s">
        <v>219</v>
      </c>
      <c r="H23" s="255" t="s">
        <v>219</v>
      </c>
      <c r="I23" s="255"/>
      <c r="J23" s="394" t="s">
        <v>235</v>
      </c>
      <c r="K23" s="395" t="s">
        <v>767</v>
      </c>
    </row>
    <row r="24" spans="2:11" s="245" customFormat="1" ht="14.15" customHeight="1" x14ac:dyDescent="0.25">
      <c r="B24" s="254" t="s">
        <v>564</v>
      </c>
      <c r="C24" s="254" t="s">
        <v>350</v>
      </c>
      <c r="D24" s="254" t="s">
        <v>217</v>
      </c>
      <c r="E24" s="254" t="s">
        <v>229</v>
      </c>
      <c r="F24" s="254" t="s">
        <v>219</v>
      </c>
      <c r="G24" s="255" t="s">
        <v>219</v>
      </c>
      <c r="H24" s="255" t="s">
        <v>219</v>
      </c>
      <c r="I24" s="255"/>
      <c r="J24" s="394" t="s">
        <v>235</v>
      </c>
      <c r="K24" s="395" t="s">
        <v>767</v>
      </c>
    </row>
    <row r="25" spans="2:11" s="245" customFormat="1" ht="14.15" customHeight="1" x14ac:dyDescent="0.25">
      <c r="B25" s="254" t="s">
        <v>565</v>
      </c>
      <c r="C25" s="254" t="s">
        <v>351</v>
      </c>
      <c r="D25" s="254" t="s">
        <v>217</v>
      </c>
      <c r="E25" s="254" t="s">
        <v>229</v>
      </c>
      <c r="F25" s="254" t="s">
        <v>219</v>
      </c>
      <c r="G25" s="255" t="s">
        <v>219</v>
      </c>
      <c r="H25" s="255" t="s">
        <v>219</v>
      </c>
      <c r="I25" s="255"/>
      <c r="J25" s="394" t="s">
        <v>235</v>
      </c>
      <c r="K25" s="395" t="s">
        <v>767</v>
      </c>
    </row>
    <row r="26" spans="2:11" s="245" customFormat="1" ht="14.15" customHeight="1" x14ac:dyDescent="0.25">
      <c r="B26" s="254" t="s">
        <v>566</v>
      </c>
      <c r="C26" s="254" t="s">
        <v>352</v>
      </c>
      <c r="D26" s="254" t="s">
        <v>217</v>
      </c>
      <c r="E26" s="254" t="s">
        <v>229</v>
      </c>
      <c r="F26" s="254" t="s">
        <v>219</v>
      </c>
      <c r="G26" s="255" t="s">
        <v>219</v>
      </c>
      <c r="H26" s="255" t="s">
        <v>219</v>
      </c>
      <c r="I26" s="255"/>
      <c r="J26" s="394" t="s">
        <v>235</v>
      </c>
      <c r="K26" s="395" t="s">
        <v>767</v>
      </c>
    </row>
    <row r="27" spans="2:11" s="245" customFormat="1" ht="14.15" customHeight="1" x14ac:dyDescent="0.25">
      <c r="B27" s="254" t="s">
        <v>567</v>
      </c>
      <c r="C27" s="254" t="s">
        <v>353</v>
      </c>
      <c r="D27" s="254" t="s">
        <v>217</v>
      </c>
      <c r="E27" s="254" t="s">
        <v>229</v>
      </c>
      <c r="F27" s="254" t="s">
        <v>219</v>
      </c>
      <c r="G27" s="255" t="s">
        <v>219</v>
      </c>
      <c r="H27" s="255" t="s">
        <v>219</v>
      </c>
      <c r="I27" s="255"/>
      <c r="J27" s="394" t="s">
        <v>235</v>
      </c>
      <c r="K27" s="395" t="s">
        <v>767</v>
      </c>
    </row>
    <row r="28" spans="2:11" s="245" customFormat="1" ht="14.15" customHeight="1" x14ac:dyDescent="0.25">
      <c r="B28" s="254" t="s">
        <v>568</v>
      </c>
      <c r="C28" s="254" t="s">
        <v>354</v>
      </c>
      <c r="D28" s="254" t="s">
        <v>217</v>
      </c>
      <c r="E28" s="254" t="s">
        <v>229</v>
      </c>
      <c r="F28" s="254" t="s">
        <v>219</v>
      </c>
      <c r="G28" s="255" t="s">
        <v>219</v>
      </c>
      <c r="H28" s="255" t="s">
        <v>219</v>
      </c>
      <c r="I28" s="255"/>
      <c r="J28" s="394" t="s">
        <v>235</v>
      </c>
      <c r="K28" s="395" t="s">
        <v>767</v>
      </c>
    </row>
    <row r="29" spans="2:11" s="245" customFormat="1" ht="14.15" customHeight="1" x14ac:dyDescent="0.25">
      <c r="B29" s="254" t="s">
        <v>569</v>
      </c>
      <c r="C29" s="254" t="s">
        <v>355</v>
      </c>
      <c r="D29" s="254" t="s">
        <v>217</v>
      </c>
      <c r="E29" s="254" t="s">
        <v>229</v>
      </c>
      <c r="F29" s="254" t="s">
        <v>219</v>
      </c>
      <c r="G29" s="255" t="s">
        <v>219</v>
      </c>
      <c r="H29" s="255" t="s">
        <v>219</v>
      </c>
      <c r="I29" s="255"/>
      <c r="J29" s="394" t="s">
        <v>235</v>
      </c>
      <c r="K29" s="395" t="s">
        <v>767</v>
      </c>
    </row>
    <row r="30" spans="2:11" s="245" customFormat="1" ht="14.15" customHeight="1" x14ac:dyDescent="0.25">
      <c r="B30" s="254" t="s">
        <v>570</v>
      </c>
      <c r="C30" s="254" t="s">
        <v>356</v>
      </c>
      <c r="D30" s="254" t="s">
        <v>217</v>
      </c>
      <c r="E30" s="254" t="s">
        <v>229</v>
      </c>
      <c r="F30" s="254" t="s">
        <v>219</v>
      </c>
      <c r="G30" s="255" t="s">
        <v>219</v>
      </c>
      <c r="H30" s="255" t="s">
        <v>219</v>
      </c>
      <c r="I30" s="255"/>
      <c r="J30" s="394" t="s">
        <v>235</v>
      </c>
      <c r="K30" s="395" t="s">
        <v>767</v>
      </c>
    </row>
    <row r="31" spans="2:11" s="245" customFormat="1" ht="14.15" customHeight="1" x14ac:dyDescent="0.25">
      <c r="B31" s="254" t="s">
        <v>571</v>
      </c>
      <c r="C31" s="254" t="s">
        <v>357</v>
      </c>
      <c r="D31" s="254" t="s">
        <v>217</v>
      </c>
      <c r="E31" s="254" t="s">
        <v>229</v>
      </c>
      <c r="F31" s="254" t="s">
        <v>219</v>
      </c>
      <c r="G31" s="255" t="s">
        <v>219</v>
      </c>
      <c r="H31" s="255" t="s">
        <v>219</v>
      </c>
      <c r="I31" s="255"/>
      <c r="J31" s="394" t="s">
        <v>235</v>
      </c>
      <c r="K31" s="395" t="s">
        <v>767</v>
      </c>
    </row>
    <row r="32" spans="2:11" s="245" customFormat="1" ht="14.15" customHeight="1" x14ac:dyDescent="0.25">
      <c r="B32" s="254" t="s">
        <v>572</v>
      </c>
      <c r="C32" s="254" t="s">
        <v>358</v>
      </c>
      <c r="D32" s="254" t="s">
        <v>217</v>
      </c>
      <c r="E32" s="254" t="s">
        <v>229</v>
      </c>
      <c r="F32" s="254" t="s">
        <v>219</v>
      </c>
      <c r="G32" s="255" t="s">
        <v>219</v>
      </c>
      <c r="H32" s="255" t="s">
        <v>219</v>
      </c>
      <c r="I32" s="255"/>
      <c r="J32" s="394" t="s">
        <v>235</v>
      </c>
      <c r="K32" s="395" t="s">
        <v>767</v>
      </c>
    </row>
    <row r="33" spans="2:11" s="245" customFormat="1" ht="14.15" customHeight="1" x14ac:dyDescent="0.25">
      <c r="B33" s="254" t="s">
        <v>573</v>
      </c>
      <c r="C33" s="254" t="s">
        <v>359</v>
      </c>
      <c r="D33" s="254" t="s">
        <v>217</v>
      </c>
      <c r="E33" s="254" t="s">
        <v>229</v>
      </c>
      <c r="F33" s="254" t="s">
        <v>219</v>
      </c>
      <c r="G33" s="255" t="s">
        <v>219</v>
      </c>
      <c r="H33" s="255" t="s">
        <v>219</v>
      </c>
      <c r="I33" s="255"/>
      <c r="J33" s="394" t="s">
        <v>235</v>
      </c>
      <c r="K33" s="395" t="s">
        <v>767</v>
      </c>
    </row>
    <row r="34" spans="2:11" s="245" customFormat="1" ht="14.15" customHeight="1" x14ac:dyDescent="0.25">
      <c r="B34" s="254" t="s">
        <v>574</v>
      </c>
      <c r="C34" s="254" t="s">
        <v>360</v>
      </c>
      <c r="D34" s="254" t="s">
        <v>217</v>
      </c>
      <c r="E34" s="254" t="s">
        <v>229</v>
      </c>
      <c r="F34" s="254" t="s">
        <v>219</v>
      </c>
      <c r="G34" s="255" t="s">
        <v>219</v>
      </c>
      <c r="H34" s="255" t="s">
        <v>219</v>
      </c>
      <c r="I34" s="255"/>
      <c r="J34" s="394" t="s">
        <v>235</v>
      </c>
      <c r="K34" s="395" t="s">
        <v>767</v>
      </c>
    </row>
    <row r="35" spans="2:11" s="245" customFormat="1" ht="14.15" customHeight="1" x14ac:dyDescent="0.25">
      <c r="B35" s="254" t="s">
        <v>575</v>
      </c>
      <c r="C35" s="254" t="s">
        <v>361</v>
      </c>
      <c r="D35" s="254" t="s">
        <v>217</v>
      </c>
      <c r="E35" s="254" t="s">
        <v>229</v>
      </c>
      <c r="F35" s="254" t="s">
        <v>219</v>
      </c>
      <c r="G35" s="255" t="s">
        <v>219</v>
      </c>
      <c r="H35" s="255" t="s">
        <v>219</v>
      </c>
      <c r="I35" s="255"/>
      <c r="J35" s="394" t="s">
        <v>235</v>
      </c>
      <c r="K35" s="395" t="s">
        <v>767</v>
      </c>
    </row>
    <row r="36" spans="2:11" s="245" customFormat="1" ht="14.15" customHeight="1" x14ac:dyDescent="0.25">
      <c r="B36" s="254" t="s">
        <v>576</v>
      </c>
      <c r="C36" s="254" t="s">
        <v>362</v>
      </c>
      <c r="D36" s="254" t="s">
        <v>217</v>
      </c>
      <c r="E36" s="254" t="s">
        <v>229</v>
      </c>
      <c r="F36" s="254" t="s">
        <v>219</v>
      </c>
      <c r="G36" s="255" t="s">
        <v>219</v>
      </c>
      <c r="H36" s="255" t="s">
        <v>219</v>
      </c>
      <c r="I36" s="255"/>
      <c r="J36" s="394" t="s">
        <v>235</v>
      </c>
      <c r="K36" s="395" t="s">
        <v>767</v>
      </c>
    </row>
    <row r="37" spans="2:11" s="245" customFormat="1" ht="14.15" customHeight="1" x14ac:dyDescent="0.25">
      <c r="B37" s="254" t="s">
        <v>577</v>
      </c>
      <c r="C37" s="254" t="s">
        <v>363</v>
      </c>
      <c r="D37" s="254" t="s">
        <v>217</v>
      </c>
      <c r="E37" s="254" t="s">
        <v>229</v>
      </c>
      <c r="F37" s="254" t="s">
        <v>219</v>
      </c>
      <c r="G37" s="255" t="s">
        <v>219</v>
      </c>
      <c r="H37" s="255" t="s">
        <v>219</v>
      </c>
      <c r="I37" s="255"/>
      <c r="J37" s="394" t="s">
        <v>235</v>
      </c>
      <c r="K37" s="395" t="s">
        <v>767</v>
      </c>
    </row>
    <row r="38" spans="2:11" s="245" customFormat="1" ht="14.15" customHeight="1" x14ac:dyDescent="0.25">
      <c r="B38" s="254" t="s">
        <v>578</v>
      </c>
      <c r="C38" s="254" t="s">
        <v>364</v>
      </c>
      <c r="D38" s="254" t="s">
        <v>217</v>
      </c>
      <c r="E38" s="254" t="s">
        <v>229</v>
      </c>
      <c r="F38" s="254" t="s">
        <v>219</v>
      </c>
      <c r="G38" s="255" t="s">
        <v>219</v>
      </c>
      <c r="H38" s="255" t="s">
        <v>219</v>
      </c>
      <c r="I38" s="255"/>
      <c r="J38" s="394" t="s">
        <v>235</v>
      </c>
      <c r="K38" s="395" t="s">
        <v>767</v>
      </c>
    </row>
    <row r="39" spans="2:11" s="245" customFormat="1" ht="14.15" customHeight="1" x14ac:dyDescent="0.25">
      <c r="B39" s="254" t="s">
        <v>579</v>
      </c>
      <c r="C39" s="254" t="s">
        <v>365</v>
      </c>
      <c r="D39" s="254" t="s">
        <v>217</v>
      </c>
      <c r="E39" s="254" t="s">
        <v>229</v>
      </c>
      <c r="F39" s="254" t="s">
        <v>219</v>
      </c>
      <c r="G39" s="255" t="s">
        <v>219</v>
      </c>
      <c r="H39" s="255" t="s">
        <v>219</v>
      </c>
      <c r="I39" s="255"/>
      <c r="J39" s="394" t="s">
        <v>235</v>
      </c>
      <c r="K39" s="395" t="s">
        <v>767</v>
      </c>
    </row>
    <row r="40" spans="2:11" s="245" customFormat="1" ht="14.15" customHeight="1" x14ac:dyDescent="0.25">
      <c r="B40" s="254" t="s">
        <v>580</v>
      </c>
      <c r="C40" s="254" t="s">
        <v>366</v>
      </c>
      <c r="D40" s="254" t="s">
        <v>217</v>
      </c>
      <c r="E40" s="254" t="s">
        <v>229</v>
      </c>
      <c r="F40" s="254" t="s">
        <v>219</v>
      </c>
      <c r="G40" s="255" t="s">
        <v>219</v>
      </c>
      <c r="H40" s="255" t="s">
        <v>219</v>
      </c>
      <c r="I40" s="255"/>
      <c r="J40" s="394" t="s">
        <v>235</v>
      </c>
      <c r="K40" s="395" t="s">
        <v>767</v>
      </c>
    </row>
    <row r="41" spans="2:11" s="245" customFormat="1" ht="14.15" customHeight="1" x14ac:dyDescent="0.25">
      <c r="B41" s="254" t="s">
        <v>581</v>
      </c>
      <c r="C41" s="254" t="s">
        <v>367</v>
      </c>
      <c r="D41" s="254" t="s">
        <v>217</v>
      </c>
      <c r="E41" s="254" t="s">
        <v>229</v>
      </c>
      <c r="F41" s="254" t="s">
        <v>219</v>
      </c>
      <c r="G41" s="255" t="s">
        <v>219</v>
      </c>
      <c r="H41" s="255" t="s">
        <v>219</v>
      </c>
      <c r="I41" s="255"/>
      <c r="J41" s="394" t="s">
        <v>235</v>
      </c>
      <c r="K41" s="395" t="s">
        <v>767</v>
      </c>
    </row>
    <row r="42" spans="2:11" s="245" customFormat="1" ht="14.15" customHeight="1" x14ac:dyDescent="0.25">
      <c r="B42" s="254" t="s">
        <v>582</v>
      </c>
      <c r="C42" s="254" t="s">
        <v>368</v>
      </c>
      <c r="D42" s="254" t="s">
        <v>217</v>
      </c>
      <c r="E42" s="254" t="s">
        <v>229</v>
      </c>
      <c r="F42" s="254" t="s">
        <v>219</v>
      </c>
      <c r="G42" s="255" t="s">
        <v>219</v>
      </c>
      <c r="H42" s="255" t="s">
        <v>219</v>
      </c>
      <c r="I42" s="255"/>
      <c r="J42" s="394" t="s">
        <v>235</v>
      </c>
      <c r="K42" s="395" t="s">
        <v>767</v>
      </c>
    </row>
    <row r="43" spans="2:11" s="245" customFormat="1" ht="14.15" customHeight="1" x14ac:dyDescent="0.25">
      <c r="B43" s="254" t="s">
        <v>583</v>
      </c>
      <c r="C43" s="254" t="s">
        <v>369</v>
      </c>
      <c r="D43" s="254" t="s">
        <v>217</v>
      </c>
      <c r="E43" s="254" t="s">
        <v>229</v>
      </c>
      <c r="F43" s="254" t="s">
        <v>219</v>
      </c>
      <c r="G43" s="255" t="s">
        <v>219</v>
      </c>
      <c r="H43" s="255" t="s">
        <v>219</v>
      </c>
      <c r="I43" s="255"/>
      <c r="J43" s="394" t="s">
        <v>235</v>
      </c>
      <c r="K43" s="395" t="s">
        <v>767</v>
      </c>
    </row>
    <row r="44" spans="2:11" s="245" customFormat="1" ht="14.15" customHeight="1" x14ac:dyDescent="0.25">
      <c r="B44" s="254" t="s">
        <v>584</v>
      </c>
      <c r="C44" s="254" t="s">
        <v>677</v>
      </c>
      <c r="D44" s="254" t="s">
        <v>217</v>
      </c>
      <c r="E44" s="254" t="s">
        <v>229</v>
      </c>
      <c r="F44" s="254" t="s">
        <v>219</v>
      </c>
      <c r="G44" s="255" t="s">
        <v>219</v>
      </c>
      <c r="H44" s="255" t="s">
        <v>219</v>
      </c>
      <c r="I44" s="255"/>
      <c r="J44" s="394" t="s">
        <v>235</v>
      </c>
      <c r="K44" s="395" t="s">
        <v>767</v>
      </c>
    </row>
    <row r="45" spans="2:11" s="245" customFormat="1" ht="14.15" customHeight="1" x14ac:dyDescent="0.25">
      <c r="B45" s="254" t="s">
        <v>585</v>
      </c>
      <c r="C45" s="254" t="s">
        <v>678</v>
      </c>
      <c r="D45" s="254" t="s">
        <v>217</v>
      </c>
      <c r="E45" s="254" t="s">
        <v>229</v>
      </c>
      <c r="F45" s="254" t="s">
        <v>219</v>
      </c>
      <c r="G45" s="255" t="s">
        <v>219</v>
      </c>
      <c r="H45" s="255" t="s">
        <v>219</v>
      </c>
      <c r="I45" s="255"/>
      <c r="J45" s="394" t="s">
        <v>235</v>
      </c>
      <c r="K45" s="395" t="s">
        <v>767</v>
      </c>
    </row>
    <row r="46" spans="2:11" s="245" customFormat="1" ht="14.15" customHeight="1" x14ac:dyDescent="0.25">
      <c r="B46" s="254" t="s">
        <v>586</v>
      </c>
      <c r="C46" s="254" t="s">
        <v>679</v>
      </c>
      <c r="D46" s="254" t="s">
        <v>217</v>
      </c>
      <c r="E46" s="254" t="s">
        <v>229</v>
      </c>
      <c r="F46" s="254" t="s">
        <v>765</v>
      </c>
      <c r="G46" s="255" t="s">
        <v>219</v>
      </c>
      <c r="H46" s="255" t="s">
        <v>765</v>
      </c>
      <c r="I46" s="255"/>
      <c r="J46" s="394" t="s">
        <v>232</v>
      </c>
      <c r="K46" s="394"/>
    </row>
    <row r="47" spans="2:11" s="245" customFormat="1" ht="14.15" customHeight="1" x14ac:dyDescent="0.25">
      <c r="B47" s="254" t="s">
        <v>587</v>
      </c>
      <c r="C47" s="254" t="s">
        <v>680</v>
      </c>
      <c r="D47" s="254" t="s">
        <v>218</v>
      </c>
      <c r="E47" s="254" t="s">
        <v>229</v>
      </c>
      <c r="F47" s="254" t="s">
        <v>765</v>
      </c>
      <c r="G47" s="255" t="s">
        <v>219</v>
      </c>
      <c r="H47" s="255" t="s">
        <v>765</v>
      </c>
      <c r="I47" s="255"/>
      <c r="J47" s="394" t="s">
        <v>232</v>
      </c>
      <c r="K47" s="395"/>
    </row>
    <row r="48" spans="2:11" s="245" customFormat="1" ht="14.15" customHeight="1" x14ac:dyDescent="0.25">
      <c r="B48" s="254" t="s">
        <v>588</v>
      </c>
      <c r="C48" s="254" t="s">
        <v>681</v>
      </c>
      <c r="D48" s="254" t="s">
        <v>217</v>
      </c>
      <c r="E48" s="254" t="s">
        <v>229</v>
      </c>
      <c r="F48" s="254" t="s">
        <v>765</v>
      </c>
      <c r="G48" s="255" t="s">
        <v>766</v>
      </c>
      <c r="H48" s="255" t="s">
        <v>765</v>
      </c>
      <c r="I48" s="255"/>
      <c r="J48" s="394" t="s">
        <v>232</v>
      </c>
      <c r="K48" s="395"/>
    </row>
    <row r="49" spans="2:11" s="245" customFormat="1" ht="14.15" customHeight="1" x14ac:dyDescent="0.25">
      <c r="B49" s="254" t="s">
        <v>589</v>
      </c>
      <c r="C49" s="254" t="s">
        <v>682</v>
      </c>
      <c r="D49" s="254" t="s">
        <v>217</v>
      </c>
      <c r="E49" s="254" t="s">
        <v>229</v>
      </c>
      <c r="F49" s="254" t="s">
        <v>219</v>
      </c>
      <c r="G49" s="255" t="s">
        <v>219</v>
      </c>
      <c r="H49" s="255" t="s">
        <v>219</v>
      </c>
      <c r="I49" s="255"/>
      <c r="J49" s="394" t="s">
        <v>235</v>
      </c>
      <c r="K49" s="395" t="s">
        <v>767</v>
      </c>
    </row>
    <row r="50" spans="2:11" s="245" customFormat="1" ht="14.15" customHeight="1" x14ac:dyDescent="0.25">
      <c r="B50" s="254" t="s">
        <v>590</v>
      </c>
      <c r="C50" s="254" t="s">
        <v>683</v>
      </c>
      <c r="D50" s="254" t="s">
        <v>217</v>
      </c>
      <c r="E50" s="254" t="s">
        <v>229</v>
      </c>
      <c r="F50" s="254" t="s">
        <v>765</v>
      </c>
      <c r="G50" s="255" t="s">
        <v>219</v>
      </c>
      <c r="H50" s="255" t="s">
        <v>765</v>
      </c>
      <c r="I50" s="255"/>
      <c r="J50" s="394" t="s">
        <v>232</v>
      </c>
      <c r="K50" s="395"/>
    </row>
    <row r="51" spans="2:11" s="245" customFormat="1" ht="14.15" customHeight="1" x14ac:dyDescent="0.25">
      <c r="B51" s="254" t="s">
        <v>591</v>
      </c>
      <c r="C51" s="254" t="s">
        <v>684</v>
      </c>
      <c r="D51" s="254" t="s">
        <v>218</v>
      </c>
      <c r="E51" s="254" t="s">
        <v>229</v>
      </c>
      <c r="F51" s="254" t="s">
        <v>765</v>
      </c>
      <c r="G51" s="255" t="s">
        <v>219</v>
      </c>
      <c r="H51" s="255" t="s">
        <v>765</v>
      </c>
      <c r="I51" s="255"/>
      <c r="J51" s="394" t="s">
        <v>232</v>
      </c>
      <c r="K51" s="395"/>
    </row>
    <row r="52" spans="2:11" s="245" customFormat="1" ht="14.15" customHeight="1" x14ac:dyDescent="0.25">
      <c r="B52" s="254" t="s">
        <v>592</v>
      </c>
      <c r="C52" s="254" t="s">
        <v>685</v>
      </c>
      <c r="D52" s="254" t="s">
        <v>217</v>
      </c>
      <c r="E52" s="254" t="s">
        <v>229</v>
      </c>
      <c r="F52" s="254" t="s">
        <v>765</v>
      </c>
      <c r="G52" s="255" t="s">
        <v>766</v>
      </c>
      <c r="H52" s="255" t="s">
        <v>765</v>
      </c>
      <c r="I52" s="255"/>
      <c r="J52" s="394" t="s">
        <v>232</v>
      </c>
      <c r="K52" s="395"/>
    </row>
    <row r="53" spans="2:11" s="245" customFormat="1" ht="14.15" customHeight="1" x14ac:dyDescent="0.25">
      <c r="B53" s="254" t="s">
        <v>593</v>
      </c>
      <c r="C53" s="254" t="s">
        <v>686</v>
      </c>
      <c r="D53" s="254" t="s">
        <v>218</v>
      </c>
      <c r="E53" s="254" t="s">
        <v>229</v>
      </c>
      <c r="F53" s="254" t="s">
        <v>765</v>
      </c>
      <c r="G53" s="255" t="s">
        <v>219</v>
      </c>
      <c r="H53" s="255" t="s">
        <v>765</v>
      </c>
      <c r="I53" s="255"/>
      <c r="J53" s="394" t="s">
        <v>232</v>
      </c>
      <c r="K53" s="395"/>
    </row>
    <row r="54" spans="2:11" s="245" customFormat="1" ht="14.15" customHeight="1" x14ac:dyDescent="0.25">
      <c r="B54" s="254" t="s">
        <v>594</v>
      </c>
      <c r="C54" s="254" t="s">
        <v>687</v>
      </c>
      <c r="D54" s="254" t="s">
        <v>217</v>
      </c>
      <c r="E54" s="254" t="s">
        <v>229</v>
      </c>
      <c r="F54" s="254" t="s">
        <v>765</v>
      </c>
      <c r="G54" s="255" t="s">
        <v>219</v>
      </c>
      <c r="H54" s="255" t="s">
        <v>765</v>
      </c>
      <c r="I54" s="255"/>
      <c r="J54" s="394" t="s">
        <v>232</v>
      </c>
      <c r="K54" s="395"/>
    </row>
    <row r="55" spans="2:11" s="245" customFormat="1" ht="14.15" customHeight="1" x14ac:dyDescent="0.25">
      <c r="B55" s="254" t="s">
        <v>595</v>
      </c>
      <c r="C55" s="254" t="s">
        <v>688</v>
      </c>
      <c r="D55" s="254" t="s">
        <v>218</v>
      </c>
      <c r="E55" s="254" t="s">
        <v>229</v>
      </c>
      <c r="F55" s="254" t="s">
        <v>765</v>
      </c>
      <c r="G55" s="255" t="s">
        <v>219</v>
      </c>
      <c r="H55" s="255" t="s">
        <v>765</v>
      </c>
      <c r="I55" s="255"/>
      <c r="J55" s="394" t="s">
        <v>232</v>
      </c>
      <c r="K55" s="394"/>
    </row>
    <row r="56" spans="2:11" s="245" customFormat="1" ht="14.15" customHeight="1" x14ac:dyDescent="0.25">
      <c r="B56" s="254" t="s">
        <v>596</v>
      </c>
      <c r="C56" s="254" t="s">
        <v>689</v>
      </c>
      <c r="D56" s="254" t="s">
        <v>217</v>
      </c>
      <c r="E56" s="254" t="s">
        <v>229</v>
      </c>
      <c r="F56" s="254" t="s">
        <v>765</v>
      </c>
      <c r="G56" s="255" t="s">
        <v>219</v>
      </c>
      <c r="H56" s="255" t="s">
        <v>765</v>
      </c>
      <c r="I56" s="255"/>
      <c r="J56" s="394" t="s">
        <v>232</v>
      </c>
      <c r="K56" s="394"/>
    </row>
    <row r="57" spans="2:11" s="245" customFormat="1" ht="14.15" customHeight="1" x14ac:dyDescent="0.25">
      <c r="B57" s="254" t="s">
        <v>597</v>
      </c>
      <c r="C57" s="254" t="s">
        <v>690</v>
      </c>
      <c r="D57" s="254" t="s">
        <v>217</v>
      </c>
      <c r="E57" s="254" t="s">
        <v>229</v>
      </c>
      <c r="F57" s="254" t="s">
        <v>765</v>
      </c>
      <c r="G57" s="255" t="s">
        <v>219</v>
      </c>
      <c r="H57" s="255" t="s">
        <v>765</v>
      </c>
      <c r="I57" s="255"/>
      <c r="J57" s="394" t="s">
        <v>232</v>
      </c>
      <c r="K57" s="395"/>
    </row>
    <row r="58" spans="2:11" s="245" customFormat="1" ht="14.15" customHeight="1" x14ac:dyDescent="0.25">
      <c r="B58" s="254" t="s">
        <v>598</v>
      </c>
      <c r="C58" s="254" t="s">
        <v>691</v>
      </c>
      <c r="D58" s="254" t="s">
        <v>217</v>
      </c>
      <c r="E58" s="254" t="s">
        <v>229</v>
      </c>
      <c r="F58" s="254" t="s">
        <v>765</v>
      </c>
      <c r="G58" s="255" t="s">
        <v>219</v>
      </c>
      <c r="H58" s="255" t="s">
        <v>765</v>
      </c>
      <c r="I58" s="255"/>
      <c r="J58" s="394" t="s">
        <v>232</v>
      </c>
      <c r="K58" s="394"/>
    </row>
    <row r="59" spans="2:11" s="245" customFormat="1" ht="14.15" customHeight="1" x14ac:dyDescent="0.25">
      <c r="B59" s="254" t="s">
        <v>599</v>
      </c>
      <c r="C59" s="254" t="s">
        <v>692</v>
      </c>
      <c r="D59" s="254" t="s">
        <v>217</v>
      </c>
      <c r="E59" s="254" t="s">
        <v>229</v>
      </c>
      <c r="F59" s="254" t="s">
        <v>765</v>
      </c>
      <c r="G59" s="255" t="s">
        <v>219</v>
      </c>
      <c r="H59" s="255" t="s">
        <v>765</v>
      </c>
      <c r="I59" s="255"/>
      <c r="J59" s="394" t="s">
        <v>232</v>
      </c>
      <c r="K59" s="395"/>
    </row>
    <row r="60" spans="2:11" s="245" customFormat="1" ht="14.15" customHeight="1" x14ac:dyDescent="0.25">
      <c r="B60" s="254" t="s">
        <v>600</v>
      </c>
      <c r="C60" s="254" t="s">
        <v>693</v>
      </c>
      <c r="D60" s="254" t="s">
        <v>217</v>
      </c>
      <c r="E60" s="254" t="s">
        <v>229</v>
      </c>
      <c r="F60" s="254" t="s">
        <v>219</v>
      </c>
      <c r="G60" s="255" t="s">
        <v>219</v>
      </c>
      <c r="H60" s="255" t="s">
        <v>219</v>
      </c>
      <c r="I60" s="255"/>
      <c r="J60" s="394" t="s">
        <v>235</v>
      </c>
      <c r="K60" s="395" t="s">
        <v>767</v>
      </c>
    </row>
    <row r="61" spans="2:11" s="245" customFormat="1" ht="14.15" customHeight="1" x14ac:dyDescent="0.25">
      <c r="B61" s="254" t="s">
        <v>601</v>
      </c>
      <c r="C61" s="254" t="s">
        <v>694</v>
      </c>
      <c r="D61" s="254" t="s">
        <v>217</v>
      </c>
      <c r="E61" s="254" t="s">
        <v>229</v>
      </c>
      <c r="F61" s="254" t="s">
        <v>765</v>
      </c>
      <c r="G61" s="255" t="s">
        <v>219</v>
      </c>
      <c r="H61" s="255" t="s">
        <v>765</v>
      </c>
      <c r="I61" s="255"/>
      <c r="J61" s="394" t="s">
        <v>232</v>
      </c>
      <c r="K61" s="395"/>
    </row>
    <row r="62" spans="2:11" s="245" customFormat="1" ht="14.15" customHeight="1" x14ac:dyDescent="0.25">
      <c r="B62" s="254" t="s">
        <v>602</v>
      </c>
      <c r="C62" s="254" t="s">
        <v>695</v>
      </c>
      <c r="D62" s="254" t="s">
        <v>217</v>
      </c>
      <c r="E62" s="254" t="s">
        <v>229</v>
      </c>
      <c r="F62" s="254" t="s">
        <v>765</v>
      </c>
      <c r="G62" s="255" t="s">
        <v>219</v>
      </c>
      <c r="H62" s="255" t="s">
        <v>765</v>
      </c>
      <c r="I62" s="255"/>
      <c r="J62" s="394" t="s">
        <v>232</v>
      </c>
      <c r="K62" s="394"/>
    </row>
    <row r="63" spans="2:11" s="245" customFormat="1" ht="14.15" customHeight="1" x14ac:dyDescent="0.25">
      <c r="B63" s="254" t="s">
        <v>603</v>
      </c>
      <c r="C63" s="254" t="s">
        <v>696</v>
      </c>
      <c r="D63" s="254" t="s">
        <v>218</v>
      </c>
      <c r="E63" s="254" t="s">
        <v>229</v>
      </c>
      <c r="F63" s="254" t="s">
        <v>219</v>
      </c>
      <c r="G63" s="255" t="s">
        <v>219</v>
      </c>
      <c r="H63" s="255" t="s">
        <v>219</v>
      </c>
      <c r="I63" s="255"/>
      <c r="J63" s="394" t="s">
        <v>235</v>
      </c>
      <c r="K63" s="395" t="s">
        <v>767</v>
      </c>
    </row>
    <row r="64" spans="2:11" s="245" customFormat="1" ht="14.15" customHeight="1" x14ac:dyDescent="0.25">
      <c r="B64" s="254" t="s">
        <v>604</v>
      </c>
      <c r="C64" s="254" t="s">
        <v>697</v>
      </c>
      <c r="D64" s="254" t="s">
        <v>218</v>
      </c>
      <c r="E64" s="254" t="s">
        <v>229</v>
      </c>
      <c r="F64" s="254" t="s">
        <v>765</v>
      </c>
      <c r="G64" s="255" t="s">
        <v>219</v>
      </c>
      <c r="H64" s="255" t="s">
        <v>765</v>
      </c>
      <c r="I64" s="255"/>
      <c r="J64" s="394" t="s">
        <v>232</v>
      </c>
      <c r="K64" s="395"/>
    </row>
    <row r="65" spans="2:11" s="245" customFormat="1" ht="14.15" customHeight="1" x14ac:dyDescent="0.25">
      <c r="B65" s="254" t="s">
        <v>605</v>
      </c>
      <c r="C65" s="254" t="s">
        <v>698</v>
      </c>
      <c r="D65" s="254" t="s">
        <v>217</v>
      </c>
      <c r="E65" s="254" t="s">
        <v>229</v>
      </c>
      <c r="F65" s="254" t="s">
        <v>765</v>
      </c>
      <c r="G65" s="255" t="s">
        <v>219</v>
      </c>
      <c r="H65" s="255" t="s">
        <v>765</v>
      </c>
      <c r="I65" s="255"/>
      <c r="J65" s="394" t="s">
        <v>232</v>
      </c>
      <c r="K65" s="395"/>
    </row>
    <row r="66" spans="2:11" s="245" customFormat="1" ht="14.15" customHeight="1" x14ac:dyDescent="0.25">
      <c r="B66" s="254" t="s">
        <v>606</v>
      </c>
      <c r="C66" s="254" t="s">
        <v>699</v>
      </c>
      <c r="D66" s="254" t="s">
        <v>217</v>
      </c>
      <c r="E66" s="254" t="s">
        <v>229</v>
      </c>
      <c r="F66" s="254" t="s">
        <v>765</v>
      </c>
      <c r="G66" s="255" t="s">
        <v>219</v>
      </c>
      <c r="H66" s="255" t="s">
        <v>765</v>
      </c>
      <c r="I66" s="255"/>
      <c r="J66" s="394" t="s">
        <v>232</v>
      </c>
      <c r="K66" s="394"/>
    </row>
    <row r="67" spans="2:11" s="245" customFormat="1" ht="14.15" customHeight="1" x14ac:dyDescent="0.25">
      <c r="B67" s="254" t="s">
        <v>607</v>
      </c>
      <c r="C67" s="254" t="s">
        <v>700</v>
      </c>
      <c r="D67" s="254" t="s">
        <v>217</v>
      </c>
      <c r="E67" s="254" t="s">
        <v>229</v>
      </c>
      <c r="F67" s="254" t="s">
        <v>765</v>
      </c>
      <c r="G67" s="255" t="s">
        <v>766</v>
      </c>
      <c r="H67" s="255" t="s">
        <v>765</v>
      </c>
      <c r="I67" s="255"/>
      <c r="J67" s="394" t="s">
        <v>232</v>
      </c>
      <c r="K67" s="395"/>
    </row>
    <row r="68" spans="2:11" s="245" customFormat="1" ht="14.15" customHeight="1" x14ac:dyDescent="0.25">
      <c r="B68" s="254" t="s">
        <v>608</v>
      </c>
      <c r="C68" s="254" t="s">
        <v>701</v>
      </c>
      <c r="D68" s="254" t="s">
        <v>217</v>
      </c>
      <c r="E68" s="254" t="s">
        <v>229</v>
      </c>
      <c r="F68" s="254" t="s">
        <v>765</v>
      </c>
      <c r="G68" s="255" t="s">
        <v>766</v>
      </c>
      <c r="H68" s="255" t="s">
        <v>765</v>
      </c>
      <c r="I68" s="255"/>
      <c r="J68" s="394" t="s">
        <v>232</v>
      </c>
      <c r="K68" s="395"/>
    </row>
    <row r="69" spans="2:11" s="245" customFormat="1" ht="14.15" customHeight="1" x14ac:dyDescent="0.25">
      <c r="B69" s="254" t="s">
        <v>609</v>
      </c>
      <c r="C69" s="254" t="s">
        <v>329</v>
      </c>
      <c r="D69" s="254" t="s">
        <v>217</v>
      </c>
      <c r="E69" s="254" t="s">
        <v>229</v>
      </c>
      <c r="F69" s="254" t="s">
        <v>219</v>
      </c>
      <c r="G69" s="255" t="s">
        <v>219</v>
      </c>
      <c r="H69" s="255" t="s">
        <v>219</v>
      </c>
      <c r="I69" s="255"/>
      <c r="J69" s="394" t="s">
        <v>235</v>
      </c>
      <c r="K69" s="395" t="s">
        <v>767</v>
      </c>
    </row>
    <row r="70" spans="2:11" s="245" customFormat="1" ht="14.15" customHeight="1" x14ac:dyDescent="0.25">
      <c r="B70" s="254" t="s">
        <v>610</v>
      </c>
      <c r="C70" s="254" t="s">
        <v>702</v>
      </c>
      <c r="D70" s="254" t="s">
        <v>217</v>
      </c>
      <c r="E70" s="254" t="s">
        <v>229</v>
      </c>
      <c r="F70" s="254" t="s">
        <v>765</v>
      </c>
      <c r="G70" s="255" t="s">
        <v>219</v>
      </c>
      <c r="H70" s="255" t="s">
        <v>765</v>
      </c>
      <c r="I70" s="255"/>
      <c r="J70" s="394" t="s">
        <v>232</v>
      </c>
      <c r="K70" s="395"/>
    </row>
    <row r="71" spans="2:11" s="245" customFormat="1" ht="14.15" customHeight="1" x14ac:dyDescent="0.25">
      <c r="B71" s="254" t="s">
        <v>611</v>
      </c>
      <c r="C71" s="254" t="s">
        <v>328</v>
      </c>
      <c r="D71" s="254" t="s">
        <v>217</v>
      </c>
      <c r="E71" s="254" t="s">
        <v>229</v>
      </c>
      <c r="F71" s="254" t="s">
        <v>765</v>
      </c>
      <c r="G71" s="255" t="s">
        <v>766</v>
      </c>
      <c r="H71" s="255" t="s">
        <v>765</v>
      </c>
      <c r="I71" s="255"/>
      <c r="J71" s="394" t="s">
        <v>232</v>
      </c>
      <c r="K71" s="395"/>
    </row>
    <row r="72" spans="2:11" s="245" customFormat="1" ht="14.15" customHeight="1" x14ac:dyDescent="0.25">
      <c r="B72" s="254" t="s">
        <v>612</v>
      </c>
      <c r="C72" s="254" t="s">
        <v>703</v>
      </c>
      <c r="D72" s="254" t="s">
        <v>218</v>
      </c>
      <c r="E72" s="254" t="s">
        <v>229</v>
      </c>
      <c r="F72" s="254" t="s">
        <v>219</v>
      </c>
      <c r="G72" s="255" t="s">
        <v>219</v>
      </c>
      <c r="H72" s="255" t="s">
        <v>219</v>
      </c>
      <c r="I72" s="255"/>
      <c r="J72" s="394" t="s">
        <v>235</v>
      </c>
      <c r="K72" s="395" t="s">
        <v>767</v>
      </c>
    </row>
    <row r="73" spans="2:11" s="245" customFormat="1" ht="14.15" customHeight="1" x14ac:dyDescent="0.25">
      <c r="B73" s="254" t="s">
        <v>613</v>
      </c>
      <c r="C73" s="254" t="s">
        <v>704</v>
      </c>
      <c r="D73" s="254" t="s">
        <v>217</v>
      </c>
      <c r="E73" s="254" t="s">
        <v>229</v>
      </c>
      <c r="F73" s="254" t="s">
        <v>765</v>
      </c>
      <c r="G73" s="255" t="s">
        <v>219</v>
      </c>
      <c r="H73" s="255" t="s">
        <v>765</v>
      </c>
      <c r="I73" s="255"/>
      <c r="J73" s="394" t="s">
        <v>232</v>
      </c>
      <c r="K73" s="395"/>
    </row>
    <row r="74" spans="2:11" s="245" customFormat="1" ht="14.15" customHeight="1" x14ac:dyDescent="0.25">
      <c r="B74" s="254" t="s">
        <v>614</v>
      </c>
      <c r="C74" s="254" t="s">
        <v>705</v>
      </c>
      <c r="D74" s="254" t="s">
        <v>217</v>
      </c>
      <c r="E74" s="254" t="s">
        <v>229</v>
      </c>
      <c r="F74" s="254" t="s">
        <v>765</v>
      </c>
      <c r="G74" s="255" t="s">
        <v>219</v>
      </c>
      <c r="H74" s="255" t="s">
        <v>765</v>
      </c>
      <c r="I74" s="255"/>
      <c r="J74" s="394" t="s">
        <v>232</v>
      </c>
      <c r="K74" s="394"/>
    </row>
    <row r="75" spans="2:11" s="245" customFormat="1" ht="14.15" customHeight="1" x14ac:dyDescent="0.25">
      <c r="B75" s="254" t="s">
        <v>615</v>
      </c>
      <c r="C75" s="254" t="s">
        <v>706</v>
      </c>
      <c r="D75" s="254" t="s">
        <v>217</v>
      </c>
      <c r="E75" s="254" t="s">
        <v>229</v>
      </c>
      <c r="F75" s="254" t="s">
        <v>765</v>
      </c>
      <c r="G75" s="255" t="s">
        <v>766</v>
      </c>
      <c r="H75" s="255" t="s">
        <v>765</v>
      </c>
      <c r="I75" s="255"/>
      <c r="J75" s="394" t="s">
        <v>232</v>
      </c>
      <c r="K75" s="394"/>
    </row>
    <row r="76" spans="2:11" s="245" customFormat="1" ht="14.15" customHeight="1" x14ac:dyDescent="0.25">
      <c r="B76" s="254" t="s">
        <v>616</v>
      </c>
      <c r="C76" s="254" t="s">
        <v>707</v>
      </c>
      <c r="D76" s="254" t="s">
        <v>217</v>
      </c>
      <c r="E76" s="254" t="s">
        <v>229</v>
      </c>
      <c r="F76" s="254" t="s">
        <v>765</v>
      </c>
      <c r="G76" s="255" t="s">
        <v>219</v>
      </c>
      <c r="H76" s="255" t="s">
        <v>765</v>
      </c>
      <c r="I76" s="255"/>
      <c r="J76" s="394" t="s">
        <v>232</v>
      </c>
      <c r="K76" s="394"/>
    </row>
    <row r="77" spans="2:11" s="245" customFormat="1" ht="14.15" customHeight="1" x14ac:dyDescent="0.25">
      <c r="B77" s="254" t="s">
        <v>617</v>
      </c>
      <c r="C77" s="254" t="s">
        <v>708</v>
      </c>
      <c r="D77" s="254" t="s">
        <v>218</v>
      </c>
      <c r="E77" s="254" t="s">
        <v>229</v>
      </c>
      <c r="F77" s="254" t="s">
        <v>765</v>
      </c>
      <c r="G77" s="255" t="s">
        <v>219</v>
      </c>
      <c r="H77" s="255" t="s">
        <v>765</v>
      </c>
      <c r="I77" s="255"/>
      <c r="J77" s="394" t="s">
        <v>232</v>
      </c>
      <c r="K77" s="394"/>
    </row>
    <row r="78" spans="2:11" s="245" customFormat="1" ht="14.15" customHeight="1" x14ac:dyDescent="0.25">
      <c r="B78" s="254" t="s">
        <v>618</v>
      </c>
      <c r="C78" s="254" t="s">
        <v>709</v>
      </c>
      <c r="D78" s="254" t="s">
        <v>217</v>
      </c>
      <c r="E78" s="254" t="s">
        <v>229</v>
      </c>
      <c r="F78" s="254" t="s">
        <v>219</v>
      </c>
      <c r="G78" s="255" t="s">
        <v>219</v>
      </c>
      <c r="H78" s="255" t="s">
        <v>219</v>
      </c>
      <c r="I78" s="255"/>
      <c r="J78" s="394" t="s">
        <v>235</v>
      </c>
      <c r="K78" s="395" t="s">
        <v>767</v>
      </c>
    </row>
    <row r="79" spans="2:11" s="245" customFormat="1" ht="14.15" customHeight="1" x14ac:dyDescent="0.25">
      <c r="B79" s="254" t="s">
        <v>619</v>
      </c>
      <c r="C79" s="254" t="s">
        <v>710</v>
      </c>
      <c r="D79" s="254" t="s">
        <v>217</v>
      </c>
      <c r="E79" s="254" t="s">
        <v>229</v>
      </c>
      <c r="F79" s="254" t="s">
        <v>765</v>
      </c>
      <c r="G79" s="255" t="s">
        <v>219</v>
      </c>
      <c r="H79" s="255" t="s">
        <v>765</v>
      </c>
      <c r="I79" s="255"/>
      <c r="J79" s="394" t="s">
        <v>232</v>
      </c>
      <c r="K79" s="394"/>
    </row>
    <row r="80" spans="2:11" s="245" customFormat="1" ht="14.15" customHeight="1" x14ac:dyDescent="0.25">
      <c r="B80" s="254" t="s">
        <v>620</v>
      </c>
      <c r="C80" s="254" t="s">
        <v>711</v>
      </c>
      <c r="D80" s="254" t="s">
        <v>217</v>
      </c>
      <c r="E80" s="254" t="s">
        <v>229</v>
      </c>
      <c r="F80" s="254" t="s">
        <v>765</v>
      </c>
      <c r="G80" s="255" t="s">
        <v>219</v>
      </c>
      <c r="H80" s="255" t="s">
        <v>765</v>
      </c>
      <c r="I80" s="255"/>
      <c r="J80" s="394" t="s">
        <v>232</v>
      </c>
      <c r="K80" s="394"/>
    </row>
    <row r="81" spans="2:11" s="245" customFormat="1" ht="14.15" customHeight="1" x14ac:dyDescent="0.25">
      <c r="B81" s="254" t="s">
        <v>621</v>
      </c>
      <c r="C81" s="254" t="s">
        <v>712</v>
      </c>
      <c r="D81" s="254" t="s">
        <v>218</v>
      </c>
      <c r="E81" s="254" t="s">
        <v>229</v>
      </c>
      <c r="F81" s="254" t="s">
        <v>765</v>
      </c>
      <c r="G81" s="255" t="s">
        <v>219</v>
      </c>
      <c r="H81" s="255" t="s">
        <v>765</v>
      </c>
      <c r="I81" s="255"/>
      <c r="J81" s="394" t="s">
        <v>232</v>
      </c>
      <c r="K81" s="394"/>
    </row>
    <row r="82" spans="2:11" s="245" customFormat="1" ht="14.15" customHeight="1" x14ac:dyDescent="0.25">
      <c r="B82" s="254" t="s">
        <v>622</v>
      </c>
      <c r="C82" s="254" t="s">
        <v>713</v>
      </c>
      <c r="D82" s="254" t="s">
        <v>217</v>
      </c>
      <c r="E82" s="254" t="s">
        <v>229</v>
      </c>
      <c r="F82" s="254" t="s">
        <v>765</v>
      </c>
      <c r="G82" s="255" t="s">
        <v>219</v>
      </c>
      <c r="H82" s="255" t="s">
        <v>765</v>
      </c>
      <c r="I82" s="255"/>
      <c r="J82" s="394" t="s">
        <v>232</v>
      </c>
      <c r="K82" s="395"/>
    </row>
    <row r="83" spans="2:11" s="245" customFormat="1" ht="14.15" customHeight="1" x14ac:dyDescent="0.25">
      <c r="B83" s="254" t="s">
        <v>623</v>
      </c>
      <c r="C83" s="254" t="s">
        <v>714</v>
      </c>
      <c r="D83" s="254" t="s">
        <v>217</v>
      </c>
      <c r="E83" s="254" t="s">
        <v>229</v>
      </c>
      <c r="F83" s="254" t="s">
        <v>765</v>
      </c>
      <c r="G83" s="255" t="s">
        <v>219</v>
      </c>
      <c r="H83" s="255" t="s">
        <v>765</v>
      </c>
      <c r="I83" s="255"/>
      <c r="J83" s="394" t="s">
        <v>232</v>
      </c>
      <c r="K83" s="395"/>
    </row>
    <row r="84" spans="2:11" s="245" customFormat="1" ht="14.15" customHeight="1" x14ac:dyDescent="0.25">
      <c r="B84" s="254" t="s">
        <v>624</v>
      </c>
      <c r="C84" s="254" t="s">
        <v>715</v>
      </c>
      <c r="D84" s="254" t="s">
        <v>217</v>
      </c>
      <c r="E84" s="254" t="s">
        <v>229</v>
      </c>
      <c r="F84" s="254" t="s">
        <v>765</v>
      </c>
      <c r="G84" s="255" t="s">
        <v>219</v>
      </c>
      <c r="H84" s="255" t="s">
        <v>765</v>
      </c>
      <c r="I84" s="255"/>
      <c r="J84" s="394" t="s">
        <v>232</v>
      </c>
      <c r="K84" s="394"/>
    </row>
    <row r="85" spans="2:11" s="245" customFormat="1" ht="14.15" customHeight="1" x14ac:dyDescent="0.25">
      <c r="B85" s="254" t="s">
        <v>625</v>
      </c>
      <c r="C85" s="254" t="s">
        <v>716</v>
      </c>
      <c r="D85" s="254" t="s">
        <v>217</v>
      </c>
      <c r="E85" s="254" t="s">
        <v>229</v>
      </c>
      <c r="F85" s="254" t="s">
        <v>219</v>
      </c>
      <c r="G85" s="255" t="s">
        <v>219</v>
      </c>
      <c r="H85" s="255" t="s">
        <v>219</v>
      </c>
      <c r="I85" s="255"/>
      <c r="J85" s="394" t="s">
        <v>235</v>
      </c>
      <c r="K85" s="395" t="s">
        <v>767</v>
      </c>
    </row>
    <row r="86" spans="2:11" s="245" customFormat="1" ht="14.15" customHeight="1" x14ac:dyDescent="0.25">
      <c r="B86" s="254" t="s">
        <v>626</v>
      </c>
      <c r="C86" s="254" t="s">
        <v>717</v>
      </c>
      <c r="D86" s="254" t="s">
        <v>218</v>
      </c>
      <c r="E86" s="254" t="s">
        <v>229</v>
      </c>
      <c r="F86" s="254" t="s">
        <v>219</v>
      </c>
      <c r="G86" s="255" t="s">
        <v>219</v>
      </c>
      <c r="H86" s="255" t="s">
        <v>219</v>
      </c>
      <c r="I86" s="255"/>
      <c r="J86" s="394" t="s">
        <v>235</v>
      </c>
      <c r="K86" s="395" t="s">
        <v>767</v>
      </c>
    </row>
    <row r="87" spans="2:11" s="245" customFormat="1" ht="14.15" customHeight="1" x14ac:dyDescent="0.25">
      <c r="B87" s="254" t="s">
        <v>627</v>
      </c>
      <c r="C87" s="254" t="s">
        <v>718</v>
      </c>
      <c r="D87" s="254" t="s">
        <v>218</v>
      </c>
      <c r="E87" s="254" t="s">
        <v>229</v>
      </c>
      <c r="F87" s="254" t="s">
        <v>219</v>
      </c>
      <c r="G87" s="255" t="s">
        <v>219</v>
      </c>
      <c r="H87" s="255" t="s">
        <v>219</v>
      </c>
      <c r="I87" s="255"/>
      <c r="J87" s="394" t="s">
        <v>235</v>
      </c>
      <c r="K87" s="395" t="s">
        <v>767</v>
      </c>
    </row>
    <row r="88" spans="2:11" s="245" customFormat="1" ht="14.15" customHeight="1" x14ac:dyDescent="0.25">
      <c r="B88" s="254" t="s">
        <v>628</v>
      </c>
      <c r="C88" s="254" t="s">
        <v>719</v>
      </c>
      <c r="D88" s="254" t="s">
        <v>217</v>
      </c>
      <c r="E88" s="254" t="s">
        <v>229</v>
      </c>
      <c r="F88" s="254" t="s">
        <v>765</v>
      </c>
      <c r="G88" s="255" t="s">
        <v>219</v>
      </c>
      <c r="H88" s="255" t="s">
        <v>765</v>
      </c>
      <c r="I88" s="255"/>
      <c r="J88" s="394" t="s">
        <v>232</v>
      </c>
      <c r="K88" s="394"/>
    </row>
    <row r="89" spans="2:11" s="245" customFormat="1" ht="14.15" customHeight="1" x14ac:dyDescent="0.25">
      <c r="B89" s="254" t="s">
        <v>629</v>
      </c>
      <c r="C89" s="254" t="s">
        <v>720</v>
      </c>
      <c r="D89" s="254" t="s">
        <v>218</v>
      </c>
      <c r="E89" s="254" t="s">
        <v>229</v>
      </c>
      <c r="F89" s="254" t="s">
        <v>765</v>
      </c>
      <c r="G89" s="255" t="s">
        <v>219</v>
      </c>
      <c r="H89" s="255" t="s">
        <v>765</v>
      </c>
      <c r="I89" s="255"/>
      <c r="J89" s="394" t="s">
        <v>232</v>
      </c>
      <c r="K89" s="394"/>
    </row>
    <row r="90" spans="2:11" s="245" customFormat="1" ht="14.15" customHeight="1" x14ac:dyDescent="0.25">
      <c r="B90" s="254" t="s">
        <v>630</v>
      </c>
      <c r="C90" s="254" t="s">
        <v>721</v>
      </c>
      <c r="D90" s="254" t="s">
        <v>218</v>
      </c>
      <c r="E90" s="254" t="s">
        <v>229</v>
      </c>
      <c r="F90" s="254" t="s">
        <v>765</v>
      </c>
      <c r="G90" s="255" t="s">
        <v>219</v>
      </c>
      <c r="H90" s="255" t="s">
        <v>765</v>
      </c>
      <c r="I90" s="255"/>
      <c r="J90" s="394" t="s">
        <v>232</v>
      </c>
      <c r="K90" s="394"/>
    </row>
    <row r="91" spans="2:11" s="245" customFormat="1" ht="14.15" customHeight="1" x14ac:dyDescent="0.25">
      <c r="B91" s="254" t="s">
        <v>631</v>
      </c>
      <c r="C91" s="254" t="s">
        <v>722</v>
      </c>
      <c r="D91" s="254" t="s">
        <v>217</v>
      </c>
      <c r="E91" s="254" t="s">
        <v>229</v>
      </c>
      <c r="F91" s="254" t="s">
        <v>765</v>
      </c>
      <c r="G91" s="255" t="s">
        <v>219</v>
      </c>
      <c r="H91" s="255" t="s">
        <v>765</v>
      </c>
      <c r="I91" s="255"/>
      <c r="J91" s="394" t="s">
        <v>232</v>
      </c>
      <c r="K91" s="394"/>
    </row>
    <row r="92" spans="2:11" s="245" customFormat="1" ht="14.15" customHeight="1" x14ac:dyDescent="0.25">
      <c r="B92" s="254" t="s">
        <v>632</v>
      </c>
      <c r="C92" s="254" t="s">
        <v>723</v>
      </c>
      <c r="D92" s="254" t="s">
        <v>218</v>
      </c>
      <c r="E92" s="254" t="s">
        <v>229</v>
      </c>
      <c r="F92" s="254" t="s">
        <v>765</v>
      </c>
      <c r="G92" s="255" t="s">
        <v>219</v>
      </c>
      <c r="H92" s="255" t="s">
        <v>765</v>
      </c>
      <c r="I92" s="255"/>
      <c r="J92" s="394" t="s">
        <v>232</v>
      </c>
      <c r="K92" s="395"/>
    </row>
    <row r="93" spans="2:11" s="245" customFormat="1" ht="14.15" customHeight="1" x14ac:dyDescent="0.25">
      <c r="B93" s="254" t="s">
        <v>633</v>
      </c>
      <c r="C93" s="254" t="s">
        <v>724</v>
      </c>
      <c r="D93" s="254" t="s">
        <v>218</v>
      </c>
      <c r="E93" s="254" t="s">
        <v>229</v>
      </c>
      <c r="F93" s="254" t="s">
        <v>765</v>
      </c>
      <c r="G93" s="255" t="s">
        <v>219</v>
      </c>
      <c r="H93" s="255" t="s">
        <v>765</v>
      </c>
      <c r="I93" s="255"/>
      <c r="J93" s="394" t="s">
        <v>232</v>
      </c>
      <c r="K93" s="395"/>
    </row>
    <row r="94" spans="2:11" s="245" customFormat="1" ht="14.15" customHeight="1" x14ac:dyDescent="0.25">
      <c r="B94" s="254" t="s">
        <v>634</v>
      </c>
      <c r="C94" s="254" t="s">
        <v>725</v>
      </c>
      <c r="D94" s="254" t="s">
        <v>217</v>
      </c>
      <c r="E94" s="254" t="s">
        <v>229</v>
      </c>
      <c r="F94" s="254" t="s">
        <v>765</v>
      </c>
      <c r="G94" s="255" t="s">
        <v>219</v>
      </c>
      <c r="H94" s="255" t="s">
        <v>765</v>
      </c>
      <c r="I94" s="255"/>
      <c r="J94" s="394" t="s">
        <v>232</v>
      </c>
      <c r="K94" s="394"/>
    </row>
    <row r="95" spans="2:11" s="245" customFormat="1" ht="14.15" customHeight="1" x14ac:dyDescent="0.25">
      <c r="B95" s="254" t="s">
        <v>635</v>
      </c>
      <c r="C95" s="254" t="s">
        <v>726</v>
      </c>
      <c r="D95" s="254" t="s">
        <v>217</v>
      </c>
      <c r="E95" s="254" t="s">
        <v>229</v>
      </c>
      <c r="F95" s="254" t="s">
        <v>765</v>
      </c>
      <c r="G95" s="255" t="s">
        <v>219</v>
      </c>
      <c r="H95" s="255" t="s">
        <v>765</v>
      </c>
      <c r="I95" s="255"/>
      <c r="J95" s="394" t="s">
        <v>232</v>
      </c>
      <c r="K95" s="394"/>
    </row>
    <row r="96" spans="2:11" s="245" customFormat="1" ht="14.15" customHeight="1" x14ac:dyDescent="0.25">
      <c r="B96" s="254" t="s">
        <v>636</v>
      </c>
      <c r="C96" s="254" t="s">
        <v>727</v>
      </c>
      <c r="D96" s="254" t="s">
        <v>218</v>
      </c>
      <c r="E96" s="254" t="s">
        <v>229</v>
      </c>
      <c r="F96" s="254" t="s">
        <v>765</v>
      </c>
      <c r="G96" s="255" t="s">
        <v>219</v>
      </c>
      <c r="H96" s="255" t="s">
        <v>765</v>
      </c>
      <c r="I96" s="255"/>
      <c r="J96" s="394" t="s">
        <v>232</v>
      </c>
      <c r="K96" s="394"/>
    </row>
    <row r="97" spans="2:11" s="245" customFormat="1" ht="14.15" customHeight="1" x14ac:dyDescent="0.25">
      <c r="B97" s="254" t="s">
        <v>637</v>
      </c>
      <c r="C97" s="254" t="s">
        <v>728</v>
      </c>
      <c r="D97" s="254" t="s">
        <v>217</v>
      </c>
      <c r="E97" s="254" t="s">
        <v>229</v>
      </c>
      <c r="F97" s="254" t="s">
        <v>765</v>
      </c>
      <c r="G97" s="255" t="s">
        <v>219</v>
      </c>
      <c r="H97" s="255" t="s">
        <v>765</v>
      </c>
      <c r="I97" s="255"/>
      <c r="J97" s="394" t="s">
        <v>232</v>
      </c>
      <c r="K97" s="394"/>
    </row>
    <row r="98" spans="2:11" s="245" customFormat="1" ht="14.15" customHeight="1" x14ac:dyDescent="0.25">
      <c r="B98" s="254" t="s">
        <v>638</v>
      </c>
      <c r="C98" s="254" t="s">
        <v>729</v>
      </c>
      <c r="D98" s="254" t="s">
        <v>217</v>
      </c>
      <c r="E98" s="254" t="s">
        <v>229</v>
      </c>
      <c r="F98" s="254" t="s">
        <v>765</v>
      </c>
      <c r="G98" s="255" t="s">
        <v>766</v>
      </c>
      <c r="H98" s="255" t="s">
        <v>765</v>
      </c>
      <c r="I98" s="255"/>
      <c r="J98" s="394" t="s">
        <v>232</v>
      </c>
      <c r="K98" s="395"/>
    </row>
    <row r="99" spans="2:11" s="245" customFormat="1" ht="14.15" customHeight="1" x14ac:dyDescent="0.25">
      <c r="B99" s="254" t="s">
        <v>639</v>
      </c>
      <c r="C99" s="254" t="s">
        <v>730</v>
      </c>
      <c r="D99" s="254" t="s">
        <v>218</v>
      </c>
      <c r="E99" s="254" t="s">
        <v>229</v>
      </c>
      <c r="F99" s="254" t="s">
        <v>765</v>
      </c>
      <c r="G99" s="255" t="s">
        <v>219</v>
      </c>
      <c r="H99" s="255" t="s">
        <v>765</v>
      </c>
      <c r="I99" s="255"/>
      <c r="J99" s="394" t="s">
        <v>232</v>
      </c>
      <c r="K99" s="394"/>
    </row>
    <row r="100" spans="2:11" s="245" customFormat="1" ht="14.15" customHeight="1" x14ac:dyDescent="0.25">
      <c r="B100" s="254" t="s">
        <v>640</v>
      </c>
      <c r="C100" s="254" t="s">
        <v>731</v>
      </c>
      <c r="D100" s="254" t="s">
        <v>217</v>
      </c>
      <c r="E100" s="254" t="s">
        <v>229</v>
      </c>
      <c r="F100" s="254" t="s">
        <v>219</v>
      </c>
      <c r="G100" s="255" t="s">
        <v>219</v>
      </c>
      <c r="H100" s="255" t="s">
        <v>219</v>
      </c>
      <c r="I100" s="255"/>
      <c r="J100" s="394" t="s">
        <v>235</v>
      </c>
      <c r="K100" s="395" t="s">
        <v>767</v>
      </c>
    </row>
    <row r="101" spans="2:11" s="245" customFormat="1" ht="14.15" customHeight="1" x14ac:dyDescent="0.25">
      <c r="B101" s="254" t="s">
        <v>641</v>
      </c>
      <c r="C101" s="254" t="s">
        <v>732</v>
      </c>
      <c r="D101" s="254" t="s">
        <v>217</v>
      </c>
      <c r="E101" s="254" t="s">
        <v>229</v>
      </c>
      <c r="F101" s="254" t="s">
        <v>219</v>
      </c>
      <c r="G101" s="255" t="s">
        <v>219</v>
      </c>
      <c r="H101" s="255" t="s">
        <v>219</v>
      </c>
      <c r="I101" s="255"/>
      <c r="J101" s="394" t="s">
        <v>235</v>
      </c>
      <c r="K101" s="395" t="s">
        <v>767</v>
      </c>
    </row>
    <row r="102" spans="2:11" s="245" customFormat="1" ht="14.15" customHeight="1" x14ac:dyDescent="0.25">
      <c r="B102" s="254" t="s">
        <v>642</v>
      </c>
      <c r="C102" s="254" t="s">
        <v>733</v>
      </c>
      <c r="D102" s="254" t="s">
        <v>217</v>
      </c>
      <c r="E102" s="254" t="s">
        <v>229</v>
      </c>
      <c r="F102" s="254" t="s">
        <v>219</v>
      </c>
      <c r="G102" s="255" t="s">
        <v>219</v>
      </c>
      <c r="H102" s="255" t="s">
        <v>219</v>
      </c>
      <c r="I102" s="255"/>
      <c r="J102" s="394" t="s">
        <v>235</v>
      </c>
      <c r="K102" s="395" t="s">
        <v>767</v>
      </c>
    </row>
    <row r="103" spans="2:11" s="245" customFormat="1" ht="14.15" customHeight="1" x14ac:dyDescent="0.25">
      <c r="B103" s="254" t="s">
        <v>643</v>
      </c>
      <c r="C103" s="254" t="s">
        <v>734</v>
      </c>
      <c r="D103" s="254" t="s">
        <v>217</v>
      </c>
      <c r="E103" s="254" t="s">
        <v>229</v>
      </c>
      <c r="F103" s="254" t="s">
        <v>219</v>
      </c>
      <c r="G103" s="255" t="s">
        <v>219</v>
      </c>
      <c r="H103" s="255" t="s">
        <v>219</v>
      </c>
      <c r="I103" s="255"/>
      <c r="J103" s="394" t="s">
        <v>235</v>
      </c>
      <c r="K103" s="395" t="s">
        <v>767</v>
      </c>
    </row>
    <row r="104" spans="2:11" s="245" customFormat="1" ht="14.15" customHeight="1" x14ac:dyDescent="0.25">
      <c r="B104" s="254" t="s">
        <v>644</v>
      </c>
      <c r="C104" s="254" t="s">
        <v>735</v>
      </c>
      <c r="D104" s="254" t="s">
        <v>217</v>
      </c>
      <c r="E104" s="254" t="s">
        <v>229</v>
      </c>
      <c r="F104" s="254" t="s">
        <v>765</v>
      </c>
      <c r="G104" s="255" t="s">
        <v>219</v>
      </c>
      <c r="H104" s="255" t="s">
        <v>765</v>
      </c>
      <c r="I104" s="255"/>
      <c r="J104" s="394" t="s">
        <v>232</v>
      </c>
      <c r="K104" s="394"/>
    </row>
    <row r="105" spans="2:11" s="245" customFormat="1" ht="14.15" customHeight="1" x14ac:dyDescent="0.25">
      <c r="B105" s="254" t="s">
        <v>645</v>
      </c>
      <c r="C105" s="254" t="s">
        <v>736</v>
      </c>
      <c r="D105" s="254" t="s">
        <v>218</v>
      </c>
      <c r="E105" s="254" t="s">
        <v>229</v>
      </c>
      <c r="F105" s="254" t="s">
        <v>765</v>
      </c>
      <c r="G105" s="255" t="s">
        <v>219</v>
      </c>
      <c r="H105" s="255" t="s">
        <v>765</v>
      </c>
      <c r="I105" s="255"/>
      <c r="J105" s="394" t="s">
        <v>232</v>
      </c>
      <c r="K105" s="395"/>
    </row>
    <row r="106" spans="2:11" s="245" customFormat="1" ht="14.15" customHeight="1" x14ac:dyDescent="0.25">
      <c r="B106" s="254" t="s">
        <v>646</v>
      </c>
      <c r="C106" s="254" t="s">
        <v>737</v>
      </c>
      <c r="D106" s="254" t="s">
        <v>218</v>
      </c>
      <c r="E106" s="254" t="s">
        <v>229</v>
      </c>
      <c r="F106" s="254" t="s">
        <v>219</v>
      </c>
      <c r="G106" s="255" t="s">
        <v>219</v>
      </c>
      <c r="H106" s="255" t="s">
        <v>219</v>
      </c>
      <c r="I106" s="255"/>
      <c r="J106" s="394" t="s">
        <v>235</v>
      </c>
      <c r="K106" s="395" t="s">
        <v>767</v>
      </c>
    </row>
    <row r="107" spans="2:11" s="245" customFormat="1" ht="14.15" customHeight="1" x14ac:dyDescent="0.25">
      <c r="B107" s="254" t="s">
        <v>647</v>
      </c>
      <c r="C107" s="254" t="s">
        <v>738</v>
      </c>
      <c r="D107" s="254" t="s">
        <v>217</v>
      </c>
      <c r="E107" s="254" t="s">
        <v>229</v>
      </c>
      <c r="F107" s="254" t="s">
        <v>219</v>
      </c>
      <c r="G107" s="255" t="s">
        <v>219</v>
      </c>
      <c r="H107" s="255" t="s">
        <v>219</v>
      </c>
      <c r="I107" s="255"/>
      <c r="J107" s="394" t="s">
        <v>235</v>
      </c>
      <c r="K107" s="395" t="s">
        <v>767</v>
      </c>
    </row>
    <row r="108" spans="2:11" s="245" customFormat="1" ht="14.15" customHeight="1" x14ac:dyDescent="0.25">
      <c r="B108" s="254" t="s">
        <v>648</v>
      </c>
      <c r="C108" s="254" t="s">
        <v>739</v>
      </c>
      <c r="D108" s="254" t="s">
        <v>217</v>
      </c>
      <c r="E108" s="254" t="s">
        <v>229</v>
      </c>
      <c r="F108" s="254" t="s">
        <v>219</v>
      </c>
      <c r="G108" s="255" t="s">
        <v>219</v>
      </c>
      <c r="H108" s="255" t="s">
        <v>219</v>
      </c>
      <c r="I108" s="255"/>
      <c r="J108" s="394" t="s">
        <v>235</v>
      </c>
      <c r="K108" s="395" t="s">
        <v>767</v>
      </c>
    </row>
    <row r="109" spans="2:11" s="245" customFormat="1" ht="14.15" customHeight="1" x14ac:dyDescent="0.25">
      <c r="B109" s="254" t="s">
        <v>649</v>
      </c>
      <c r="C109" s="254" t="s">
        <v>740</v>
      </c>
      <c r="D109" s="254" t="s">
        <v>217</v>
      </c>
      <c r="E109" s="254" t="s">
        <v>229</v>
      </c>
      <c r="F109" s="254" t="s">
        <v>219</v>
      </c>
      <c r="G109" s="255" t="s">
        <v>219</v>
      </c>
      <c r="H109" s="255" t="s">
        <v>219</v>
      </c>
      <c r="I109" s="255"/>
      <c r="J109" s="394" t="s">
        <v>235</v>
      </c>
      <c r="K109" s="395" t="s">
        <v>767</v>
      </c>
    </row>
    <row r="110" spans="2:11" s="245" customFormat="1" ht="14.15" customHeight="1" x14ac:dyDescent="0.25">
      <c r="B110" s="254" t="s">
        <v>650</v>
      </c>
      <c r="C110" s="254" t="s">
        <v>741</v>
      </c>
      <c r="D110" s="254" t="s">
        <v>217</v>
      </c>
      <c r="E110" s="254" t="s">
        <v>229</v>
      </c>
      <c r="F110" s="254" t="s">
        <v>219</v>
      </c>
      <c r="G110" s="255" t="s">
        <v>219</v>
      </c>
      <c r="H110" s="255" t="s">
        <v>219</v>
      </c>
      <c r="I110" s="255"/>
      <c r="J110" s="394" t="s">
        <v>235</v>
      </c>
      <c r="K110" s="395" t="s">
        <v>767</v>
      </c>
    </row>
    <row r="111" spans="2:11" s="245" customFormat="1" ht="14.15" customHeight="1" x14ac:dyDescent="0.25">
      <c r="B111" s="254" t="s">
        <v>651</v>
      </c>
      <c r="C111" s="254" t="s">
        <v>742</v>
      </c>
      <c r="D111" s="254" t="s">
        <v>217</v>
      </c>
      <c r="E111" s="254" t="s">
        <v>229</v>
      </c>
      <c r="F111" s="254" t="s">
        <v>765</v>
      </c>
      <c r="G111" s="255" t="s">
        <v>219</v>
      </c>
      <c r="H111" s="255" t="s">
        <v>765</v>
      </c>
      <c r="I111" s="255"/>
      <c r="J111" s="394" t="s">
        <v>232</v>
      </c>
      <c r="K111" s="395"/>
    </row>
    <row r="112" spans="2:11" s="245" customFormat="1" ht="14.15" customHeight="1" x14ac:dyDescent="0.25">
      <c r="B112" s="254" t="s">
        <v>652</v>
      </c>
      <c r="C112" s="254" t="s">
        <v>743</v>
      </c>
      <c r="D112" s="254" t="s">
        <v>217</v>
      </c>
      <c r="E112" s="254" t="s">
        <v>229</v>
      </c>
      <c r="F112" s="254" t="s">
        <v>765</v>
      </c>
      <c r="G112" s="255" t="s">
        <v>219</v>
      </c>
      <c r="H112" s="255" t="s">
        <v>765</v>
      </c>
      <c r="I112" s="255"/>
      <c r="J112" s="394" t="s">
        <v>232</v>
      </c>
      <c r="K112" s="395"/>
    </row>
    <row r="113" spans="2:11" s="245" customFormat="1" ht="14.15" customHeight="1" x14ac:dyDescent="0.25">
      <c r="B113" s="254" t="s">
        <v>653</v>
      </c>
      <c r="C113" s="254" t="s">
        <v>744</v>
      </c>
      <c r="D113" s="254" t="s">
        <v>217</v>
      </c>
      <c r="E113" s="254" t="s">
        <v>229</v>
      </c>
      <c r="F113" s="254" t="s">
        <v>219</v>
      </c>
      <c r="G113" s="255" t="s">
        <v>219</v>
      </c>
      <c r="H113" s="255" t="s">
        <v>219</v>
      </c>
      <c r="I113" s="255"/>
      <c r="J113" s="394" t="s">
        <v>235</v>
      </c>
      <c r="K113" s="395" t="s">
        <v>767</v>
      </c>
    </row>
    <row r="114" spans="2:11" s="245" customFormat="1" ht="14.15" customHeight="1" x14ac:dyDescent="0.25">
      <c r="B114" s="254" t="s">
        <v>654</v>
      </c>
      <c r="C114" s="254" t="s">
        <v>745</v>
      </c>
      <c r="D114" s="254" t="s">
        <v>218</v>
      </c>
      <c r="E114" s="254" t="s">
        <v>229</v>
      </c>
      <c r="F114" s="254" t="s">
        <v>219</v>
      </c>
      <c r="G114" s="255" t="s">
        <v>219</v>
      </c>
      <c r="H114" s="255" t="s">
        <v>219</v>
      </c>
      <c r="I114" s="255"/>
      <c r="J114" s="394" t="s">
        <v>235</v>
      </c>
      <c r="K114" s="395" t="s">
        <v>767</v>
      </c>
    </row>
    <row r="115" spans="2:11" s="245" customFormat="1" ht="14.15" customHeight="1" x14ac:dyDescent="0.25">
      <c r="B115" s="254" t="s">
        <v>655</v>
      </c>
      <c r="C115" s="254" t="s">
        <v>746</v>
      </c>
      <c r="D115" s="254" t="s">
        <v>217</v>
      </c>
      <c r="E115" s="254" t="s">
        <v>229</v>
      </c>
      <c r="F115" s="254" t="s">
        <v>765</v>
      </c>
      <c r="G115" s="255" t="s">
        <v>219</v>
      </c>
      <c r="H115" s="255" t="s">
        <v>765</v>
      </c>
      <c r="I115" s="255"/>
      <c r="J115" s="394" t="s">
        <v>232</v>
      </c>
      <c r="K115" s="394"/>
    </row>
    <row r="116" spans="2:11" s="245" customFormat="1" ht="14.15" customHeight="1" x14ac:dyDescent="0.25">
      <c r="B116" s="254" t="s">
        <v>656</v>
      </c>
      <c r="C116" s="254" t="s">
        <v>331</v>
      </c>
      <c r="D116" s="254" t="s">
        <v>218</v>
      </c>
      <c r="E116" s="254" t="s">
        <v>229</v>
      </c>
      <c r="F116" s="254" t="s">
        <v>765</v>
      </c>
      <c r="G116" s="255" t="s">
        <v>219</v>
      </c>
      <c r="H116" s="255" t="s">
        <v>765</v>
      </c>
      <c r="I116" s="255"/>
      <c r="J116" s="394" t="s">
        <v>232</v>
      </c>
      <c r="K116" s="394"/>
    </row>
    <row r="117" spans="2:11" s="245" customFormat="1" ht="14.15" customHeight="1" x14ac:dyDescent="0.25">
      <c r="B117" s="254" t="s">
        <v>657</v>
      </c>
      <c r="C117" s="254" t="s">
        <v>332</v>
      </c>
      <c r="D117" s="254" t="s">
        <v>217</v>
      </c>
      <c r="E117" s="254" t="s">
        <v>229</v>
      </c>
      <c r="F117" s="254" t="s">
        <v>219</v>
      </c>
      <c r="G117" s="255" t="s">
        <v>219</v>
      </c>
      <c r="H117" s="255" t="s">
        <v>219</v>
      </c>
      <c r="I117" s="255"/>
      <c r="J117" s="394" t="s">
        <v>235</v>
      </c>
      <c r="K117" s="395" t="s">
        <v>767</v>
      </c>
    </row>
    <row r="118" spans="2:11" s="245" customFormat="1" ht="14.15" customHeight="1" x14ac:dyDescent="0.25">
      <c r="B118" s="254" t="s">
        <v>658</v>
      </c>
      <c r="C118" s="254" t="s">
        <v>747</v>
      </c>
      <c r="D118" s="254" t="s">
        <v>218</v>
      </c>
      <c r="E118" s="254" t="s">
        <v>229</v>
      </c>
      <c r="F118" s="255" t="s">
        <v>219</v>
      </c>
      <c r="G118" s="255" t="s">
        <v>219</v>
      </c>
      <c r="H118" s="255" t="s">
        <v>219</v>
      </c>
      <c r="I118" s="255"/>
      <c r="J118" s="394" t="s">
        <v>235</v>
      </c>
      <c r="K118" s="395" t="s">
        <v>767</v>
      </c>
    </row>
    <row r="119" spans="2:11" s="245" customFormat="1" ht="14.15" customHeight="1" x14ac:dyDescent="0.25">
      <c r="B119" s="254" t="s">
        <v>659</v>
      </c>
      <c r="C119" s="254" t="s">
        <v>748</v>
      </c>
      <c r="D119" s="254" t="s">
        <v>217</v>
      </c>
      <c r="E119" s="254" t="s">
        <v>229</v>
      </c>
      <c r="F119" s="254" t="s">
        <v>219</v>
      </c>
      <c r="G119" s="255" t="s">
        <v>766</v>
      </c>
      <c r="H119" s="255" t="s">
        <v>219</v>
      </c>
      <c r="I119" s="255"/>
      <c r="J119" s="394" t="s">
        <v>235</v>
      </c>
      <c r="K119" s="395" t="s">
        <v>767</v>
      </c>
    </row>
    <row r="120" spans="2:11" s="245" customFormat="1" ht="14.15" customHeight="1" x14ac:dyDescent="0.25">
      <c r="B120" s="254" t="s">
        <v>660</v>
      </c>
      <c r="C120" s="254" t="s">
        <v>330</v>
      </c>
      <c r="D120" s="254" t="s">
        <v>218</v>
      </c>
      <c r="E120" s="254" t="s">
        <v>229</v>
      </c>
      <c r="F120" s="254" t="s">
        <v>219</v>
      </c>
      <c r="G120" s="255" t="s">
        <v>219</v>
      </c>
      <c r="H120" s="255" t="s">
        <v>219</v>
      </c>
      <c r="I120" s="255"/>
      <c r="J120" s="394" t="s">
        <v>235</v>
      </c>
      <c r="K120" s="395" t="s">
        <v>767</v>
      </c>
    </row>
    <row r="121" spans="2:11" s="245" customFormat="1" ht="14.15" customHeight="1" x14ac:dyDescent="0.25">
      <c r="B121" s="254" t="s">
        <v>661</v>
      </c>
      <c r="C121" s="254" t="s">
        <v>749</v>
      </c>
      <c r="D121" s="254" t="s">
        <v>218</v>
      </c>
      <c r="E121" s="254" t="s">
        <v>229</v>
      </c>
      <c r="F121" s="254" t="s">
        <v>765</v>
      </c>
      <c r="G121" s="255" t="s">
        <v>219</v>
      </c>
      <c r="H121" s="255" t="s">
        <v>765</v>
      </c>
      <c r="I121" s="255"/>
      <c r="J121" s="394" t="s">
        <v>232</v>
      </c>
      <c r="K121" s="394"/>
    </row>
    <row r="122" spans="2:11" s="245" customFormat="1" ht="14.15" customHeight="1" x14ac:dyDescent="0.25">
      <c r="B122" s="254" t="s">
        <v>662</v>
      </c>
      <c r="C122" s="254" t="s">
        <v>750</v>
      </c>
      <c r="D122" s="254" t="s">
        <v>217</v>
      </c>
      <c r="E122" s="254" t="s">
        <v>229</v>
      </c>
      <c r="F122" s="254" t="s">
        <v>765</v>
      </c>
      <c r="G122" s="255" t="s">
        <v>219</v>
      </c>
      <c r="H122" s="255" t="s">
        <v>765</v>
      </c>
      <c r="I122" s="255"/>
      <c r="J122" s="394" t="s">
        <v>232</v>
      </c>
      <c r="K122" s="394"/>
    </row>
    <row r="123" spans="2:11" s="245" customFormat="1" ht="14.15" customHeight="1" x14ac:dyDescent="0.25">
      <c r="B123" s="254" t="s">
        <v>663</v>
      </c>
      <c r="C123" s="254" t="s">
        <v>751</v>
      </c>
      <c r="D123" s="254" t="s">
        <v>218</v>
      </c>
      <c r="E123" s="254" t="s">
        <v>229</v>
      </c>
      <c r="F123" s="254" t="s">
        <v>765</v>
      </c>
      <c r="G123" s="255" t="s">
        <v>219</v>
      </c>
      <c r="H123" s="255" t="s">
        <v>765</v>
      </c>
      <c r="I123" s="255"/>
      <c r="J123" s="394" t="s">
        <v>232</v>
      </c>
      <c r="K123" s="394"/>
    </row>
    <row r="124" spans="2:11" s="245" customFormat="1" ht="14.15" customHeight="1" x14ac:dyDescent="0.25">
      <c r="B124" s="254" t="s">
        <v>664</v>
      </c>
      <c r="C124" s="254" t="s">
        <v>752</v>
      </c>
      <c r="D124" s="254" t="s">
        <v>218</v>
      </c>
      <c r="E124" s="254" t="s">
        <v>229</v>
      </c>
      <c r="F124" s="254" t="s">
        <v>219</v>
      </c>
      <c r="G124" s="255" t="s">
        <v>219</v>
      </c>
      <c r="H124" s="255" t="s">
        <v>219</v>
      </c>
      <c r="I124" s="255"/>
      <c r="J124" s="394" t="s">
        <v>235</v>
      </c>
      <c r="K124" s="395" t="s">
        <v>767</v>
      </c>
    </row>
    <row r="125" spans="2:11" s="245" customFormat="1" ht="14.15" customHeight="1" x14ac:dyDescent="0.25">
      <c r="B125" s="254" t="s">
        <v>665</v>
      </c>
      <c r="C125" s="254" t="s">
        <v>753</v>
      </c>
      <c r="D125" s="254" t="s">
        <v>218</v>
      </c>
      <c r="E125" s="254" t="s">
        <v>229</v>
      </c>
      <c r="F125" s="254" t="s">
        <v>219</v>
      </c>
      <c r="G125" s="255" t="s">
        <v>219</v>
      </c>
      <c r="H125" s="255" t="s">
        <v>219</v>
      </c>
      <c r="I125" s="255"/>
      <c r="J125" s="394" t="s">
        <v>235</v>
      </c>
      <c r="K125" s="395" t="s">
        <v>767</v>
      </c>
    </row>
    <row r="126" spans="2:11" s="245" customFormat="1" ht="14.15" customHeight="1" x14ac:dyDescent="0.25">
      <c r="B126" s="254" t="s">
        <v>666</v>
      </c>
      <c r="C126" s="254" t="s">
        <v>754</v>
      </c>
      <c r="D126" s="254" t="s">
        <v>218</v>
      </c>
      <c r="E126" s="254" t="s">
        <v>229</v>
      </c>
      <c r="F126" s="254" t="s">
        <v>219</v>
      </c>
      <c r="G126" s="255" t="s">
        <v>219</v>
      </c>
      <c r="H126" s="255" t="s">
        <v>219</v>
      </c>
      <c r="I126" s="255"/>
      <c r="J126" s="394" t="s">
        <v>235</v>
      </c>
      <c r="K126" s="395" t="s">
        <v>767</v>
      </c>
    </row>
    <row r="127" spans="2:11" s="245" customFormat="1" ht="14.15" customHeight="1" x14ac:dyDescent="0.25">
      <c r="B127" s="254" t="s">
        <v>667</v>
      </c>
      <c r="C127" s="254" t="s">
        <v>755</v>
      </c>
      <c r="D127" s="254" t="s">
        <v>218</v>
      </c>
      <c r="E127" s="254" t="s">
        <v>229</v>
      </c>
      <c r="F127" s="254" t="s">
        <v>765</v>
      </c>
      <c r="G127" s="255" t="s">
        <v>219</v>
      </c>
      <c r="H127" s="255" t="s">
        <v>765</v>
      </c>
      <c r="I127" s="255"/>
      <c r="J127" s="394" t="s">
        <v>232</v>
      </c>
      <c r="K127" s="394"/>
    </row>
    <row r="128" spans="2:11" s="245" customFormat="1" ht="14.15" customHeight="1" x14ac:dyDescent="0.25">
      <c r="B128" s="254" t="s">
        <v>668</v>
      </c>
      <c r="C128" s="254" t="s">
        <v>756</v>
      </c>
      <c r="D128" s="254" t="s">
        <v>217</v>
      </c>
      <c r="E128" s="254" t="s">
        <v>229</v>
      </c>
      <c r="F128" s="254" t="s">
        <v>765</v>
      </c>
      <c r="G128" s="255" t="s">
        <v>219</v>
      </c>
      <c r="H128" s="255" t="s">
        <v>765</v>
      </c>
      <c r="I128" s="255"/>
      <c r="J128" s="394" t="s">
        <v>232</v>
      </c>
      <c r="K128" s="395"/>
    </row>
    <row r="129" spans="2:11" s="245" customFormat="1" ht="14.15" customHeight="1" x14ac:dyDescent="0.25">
      <c r="B129" s="254" t="s">
        <v>669</v>
      </c>
      <c r="C129" s="254" t="s">
        <v>757</v>
      </c>
      <c r="D129" s="254" t="s">
        <v>218</v>
      </c>
      <c r="E129" s="254" t="s">
        <v>229</v>
      </c>
      <c r="F129" s="254" t="s">
        <v>765</v>
      </c>
      <c r="G129" s="255" t="s">
        <v>219</v>
      </c>
      <c r="H129" s="255" t="s">
        <v>765</v>
      </c>
      <c r="I129" s="255"/>
      <c r="J129" s="394" t="s">
        <v>232</v>
      </c>
      <c r="K129" s="394"/>
    </row>
    <row r="130" spans="2:11" s="245" customFormat="1" ht="14.15" customHeight="1" x14ac:dyDescent="0.25">
      <c r="B130" s="254" t="s">
        <v>670</v>
      </c>
      <c r="C130" s="254" t="s">
        <v>758</v>
      </c>
      <c r="D130" s="254" t="s">
        <v>218</v>
      </c>
      <c r="E130" s="254" t="s">
        <v>229</v>
      </c>
      <c r="F130" s="254" t="s">
        <v>765</v>
      </c>
      <c r="G130" s="255" t="s">
        <v>219</v>
      </c>
      <c r="H130" s="255" t="s">
        <v>765</v>
      </c>
      <c r="I130" s="255"/>
      <c r="J130" s="394" t="s">
        <v>232</v>
      </c>
      <c r="K130" s="394"/>
    </row>
    <row r="131" spans="2:11" s="245" customFormat="1" ht="14.15" customHeight="1" x14ac:dyDescent="0.25">
      <c r="B131" s="254" t="s">
        <v>671</v>
      </c>
      <c r="C131" s="254" t="s">
        <v>759</v>
      </c>
      <c r="D131" s="254" t="s">
        <v>218</v>
      </c>
      <c r="E131" s="254" t="s">
        <v>229</v>
      </c>
      <c r="F131" s="254" t="s">
        <v>765</v>
      </c>
      <c r="G131" s="255" t="s">
        <v>219</v>
      </c>
      <c r="H131" s="255" t="s">
        <v>765</v>
      </c>
      <c r="I131" s="255"/>
      <c r="J131" s="394" t="s">
        <v>232</v>
      </c>
      <c r="K131" s="394"/>
    </row>
    <row r="132" spans="2:11" s="245" customFormat="1" ht="14.15" customHeight="1" x14ac:dyDescent="0.25">
      <c r="B132" s="254" t="s">
        <v>672</v>
      </c>
      <c r="C132" s="254" t="s">
        <v>760</v>
      </c>
      <c r="D132" s="254" t="s">
        <v>218</v>
      </c>
      <c r="E132" s="254" t="s">
        <v>229</v>
      </c>
      <c r="F132" s="254" t="s">
        <v>765</v>
      </c>
      <c r="G132" s="255" t="s">
        <v>219</v>
      </c>
      <c r="H132" s="255" t="s">
        <v>765</v>
      </c>
      <c r="I132" s="255"/>
      <c r="J132" s="394" t="s">
        <v>232</v>
      </c>
      <c r="K132" s="394"/>
    </row>
    <row r="133" spans="2:11" s="245" customFormat="1" ht="14.15" customHeight="1" x14ac:dyDescent="0.25">
      <c r="B133" s="254" t="s">
        <v>673</v>
      </c>
      <c r="C133" s="254" t="s">
        <v>761</v>
      </c>
      <c r="D133" s="254" t="s">
        <v>217</v>
      </c>
      <c r="E133" s="254" t="s">
        <v>229</v>
      </c>
      <c r="F133" s="254" t="s">
        <v>219</v>
      </c>
      <c r="G133" s="255" t="s">
        <v>219</v>
      </c>
      <c r="H133" s="255" t="s">
        <v>219</v>
      </c>
      <c r="I133" s="255"/>
      <c r="J133" s="394" t="s">
        <v>235</v>
      </c>
      <c r="K133" s="395" t="s">
        <v>767</v>
      </c>
    </row>
    <row r="134" spans="2:11" s="245" customFormat="1" ht="14.15" customHeight="1" x14ac:dyDescent="0.25">
      <c r="B134" s="254" t="s">
        <v>674</v>
      </c>
      <c r="C134" s="254" t="s">
        <v>762</v>
      </c>
      <c r="D134" s="254" t="s">
        <v>218</v>
      </c>
      <c r="E134" s="254" t="s">
        <v>229</v>
      </c>
      <c r="F134" s="254" t="s">
        <v>765</v>
      </c>
      <c r="G134" s="255" t="s">
        <v>219</v>
      </c>
      <c r="H134" s="255" t="s">
        <v>765</v>
      </c>
      <c r="I134" s="255"/>
      <c r="J134" s="394" t="s">
        <v>232</v>
      </c>
      <c r="K134" s="394"/>
    </row>
    <row r="135" spans="2:11" s="245" customFormat="1" ht="14.15" customHeight="1" x14ac:dyDescent="0.25">
      <c r="B135" s="254" t="s">
        <v>675</v>
      </c>
      <c r="C135" s="254" t="s">
        <v>763</v>
      </c>
      <c r="D135" s="254" t="s">
        <v>218</v>
      </c>
      <c r="E135" s="254" t="s">
        <v>229</v>
      </c>
      <c r="F135" s="254" t="s">
        <v>219</v>
      </c>
      <c r="G135" s="255" t="s">
        <v>219</v>
      </c>
      <c r="H135" s="255" t="s">
        <v>219</v>
      </c>
      <c r="I135" s="255"/>
      <c r="J135" s="394" t="s">
        <v>235</v>
      </c>
      <c r="K135" s="395" t="s">
        <v>767</v>
      </c>
    </row>
    <row r="136" spans="2:11" s="245" customFormat="1" ht="14.15" customHeight="1" x14ac:dyDescent="0.25">
      <c r="B136" s="254" t="s">
        <v>676</v>
      </c>
      <c r="C136" s="254" t="s">
        <v>764</v>
      </c>
      <c r="D136" s="254" t="s">
        <v>218</v>
      </c>
      <c r="E136" s="254" t="s">
        <v>229</v>
      </c>
      <c r="F136" s="254" t="s">
        <v>219</v>
      </c>
      <c r="G136" s="255" t="s">
        <v>219</v>
      </c>
      <c r="H136" s="255" t="s">
        <v>219</v>
      </c>
      <c r="I136" s="255"/>
      <c r="J136" s="394" t="s">
        <v>235</v>
      </c>
      <c r="K136" s="395" t="s">
        <v>767</v>
      </c>
    </row>
    <row r="137" spans="2:11" s="245" customFormat="1" ht="14.15" customHeight="1" x14ac:dyDescent="0.25">
      <c r="G137" s="256"/>
      <c r="H137" s="256"/>
      <c r="I137" s="256"/>
    </row>
    <row r="140" spans="2:11" x14ac:dyDescent="0.25">
      <c r="B140" s="252"/>
    </row>
    <row r="141" spans="2:11" x14ac:dyDescent="0.25">
      <c r="B141" s="253"/>
    </row>
    <row r="143" spans="2:11" x14ac:dyDescent="0.25">
      <c r="B143"/>
      <c r="C143"/>
      <c r="D143"/>
    </row>
    <row r="144" spans="2:11" x14ac:dyDescent="0.25">
      <c r="B144"/>
      <c r="C144"/>
      <c r="D144"/>
    </row>
    <row r="145" spans="2:4" x14ac:dyDescent="0.25">
      <c r="B145"/>
      <c r="C145"/>
      <c r="D145"/>
    </row>
    <row r="146" spans="2:4" x14ac:dyDescent="0.25">
      <c r="B146"/>
      <c r="C146"/>
      <c r="D146"/>
    </row>
    <row r="147" spans="2:4" x14ac:dyDescent="0.25">
      <c r="B147"/>
      <c r="C147"/>
      <c r="D147"/>
    </row>
    <row r="148" spans="2:4" x14ac:dyDescent="0.25">
      <c r="B148"/>
      <c r="C148"/>
      <c r="D148"/>
    </row>
    <row r="149" spans="2:4" x14ac:dyDescent="0.25">
      <c r="B149"/>
      <c r="C149"/>
      <c r="D149"/>
    </row>
    <row r="150" spans="2:4" x14ac:dyDescent="0.25">
      <c r="B150"/>
      <c r="C150"/>
      <c r="D150"/>
    </row>
    <row r="151" spans="2:4" x14ac:dyDescent="0.25">
      <c r="B151"/>
      <c r="C151"/>
      <c r="D151"/>
    </row>
    <row r="152" spans="2:4" x14ac:dyDescent="0.25">
      <c r="B152"/>
      <c r="C152"/>
      <c r="D152"/>
    </row>
    <row r="153" spans="2:4" x14ac:dyDescent="0.25">
      <c r="B153"/>
      <c r="C153"/>
      <c r="D153"/>
    </row>
    <row r="154" spans="2:4" x14ac:dyDescent="0.25">
      <c r="B154"/>
      <c r="C154"/>
      <c r="D154"/>
    </row>
    <row r="155" spans="2:4" x14ac:dyDescent="0.25">
      <c r="B155"/>
      <c r="C155"/>
      <c r="D155"/>
    </row>
    <row r="156" spans="2:4" x14ac:dyDescent="0.25">
      <c r="B156"/>
      <c r="C156"/>
      <c r="D156"/>
    </row>
    <row r="157" spans="2:4" x14ac:dyDescent="0.25">
      <c r="B157"/>
      <c r="C157"/>
      <c r="D157"/>
    </row>
    <row r="158" spans="2:4" x14ac:dyDescent="0.25">
      <c r="B158"/>
      <c r="C158"/>
      <c r="D158"/>
    </row>
    <row r="159" spans="2:4" x14ac:dyDescent="0.25">
      <c r="B159"/>
      <c r="C159"/>
      <c r="D159"/>
    </row>
    <row r="160" spans="2:4" x14ac:dyDescent="0.25">
      <c r="B160"/>
      <c r="C160"/>
      <c r="D160"/>
    </row>
    <row r="161" spans="2:4" x14ac:dyDescent="0.25">
      <c r="B161"/>
      <c r="C161"/>
      <c r="D161"/>
    </row>
    <row r="162" spans="2:4" x14ac:dyDescent="0.25">
      <c r="B162"/>
      <c r="C162"/>
      <c r="D162"/>
    </row>
    <row r="163" spans="2:4" x14ac:dyDescent="0.25">
      <c r="B163"/>
      <c r="C163"/>
      <c r="D163"/>
    </row>
    <row r="164" spans="2:4" x14ac:dyDescent="0.25">
      <c r="B164"/>
      <c r="C164"/>
      <c r="D164"/>
    </row>
    <row r="165" spans="2:4" x14ac:dyDescent="0.25">
      <c r="B165"/>
      <c r="C165"/>
      <c r="D165"/>
    </row>
    <row r="166" spans="2:4" x14ac:dyDescent="0.25">
      <c r="B166"/>
      <c r="C166"/>
      <c r="D166"/>
    </row>
    <row r="167" spans="2:4" x14ac:dyDescent="0.25">
      <c r="B167"/>
      <c r="C167"/>
      <c r="D167"/>
    </row>
    <row r="168" spans="2:4" x14ac:dyDescent="0.25">
      <c r="B168"/>
      <c r="C168"/>
      <c r="D168"/>
    </row>
    <row r="169" spans="2:4" x14ac:dyDescent="0.25">
      <c r="B169"/>
      <c r="C169"/>
      <c r="D169"/>
    </row>
    <row r="170" spans="2:4" x14ac:dyDescent="0.25">
      <c r="B170"/>
      <c r="C170"/>
      <c r="D170"/>
    </row>
    <row r="171" spans="2:4" x14ac:dyDescent="0.25">
      <c r="B171"/>
      <c r="C171"/>
      <c r="D171"/>
    </row>
    <row r="172" spans="2:4" x14ac:dyDescent="0.25">
      <c r="B172"/>
      <c r="C172"/>
      <c r="D172"/>
    </row>
    <row r="173" spans="2:4" x14ac:dyDescent="0.25">
      <c r="B173"/>
      <c r="C173"/>
      <c r="D173"/>
    </row>
  </sheetData>
  <autoFilter ref="B5:K136" xr:uid="{00000000-0001-0000-0800-000000000000}"/>
  <mergeCells count="3">
    <mergeCell ref="J4:K4"/>
    <mergeCell ref="B4:F4"/>
    <mergeCell ref="G4:I4"/>
  </mergeCells>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66769-4B94-4DD7-9F65-C7A79FE2E699}">
  <dimension ref="A1:K74"/>
  <sheetViews>
    <sheetView showGridLines="0" zoomScale="90" zoomScaleNormal="90" workbookViewId="0">
      <selection activeCell="J24" sqref="J24"/>
    </sheetView>
  </sheetViews>
  <sheetFormatPr defaultColWidth="9" defaultRowHeight="13" x14ac:dyDescent="0.25"/>
  <cols>
    <col min="1" max="1" width="3.58203125" style="275" customWidth="1"/>
    <col min="2" max="2" width="2" style="275" customWidth="1"/>
    <col min="3" max="5" width="16.1640625" style="275" customWidth="1"/>
    <col min="6" max="6" width="31.6640625" style="275" customWidth="1"/>
    <col min="7" max="7" width="18.6640625" style="275" customWidth="1"/>
    <col min="8" max="8" width="22.58203125" style="275" customWidth="1"/>
    <col min="9" max="16384" width="9" style="275"/>
  </cols>
  <sheetData>
    <row r="1" spans="1:11" x14ac:dyDescent="0.25">
      <c r="A1" s="42"/>
    </row>
    <row r="2" spans="1:11" x14ac:dyDescent="0.25">
      <c r="B2" s="276" t="s">
        <v>256</v>
      </c>
      <c r="C2" s="276"/>
      <c r="D2" s="277"/>
      <c r="E2" s="277"/>
      <c r="F2" s="277"/>
      <c r="G2" s="277"/>
      <c r="H2" s="278"/>
      <c r="I2" s="277"/>
      <c r="J2" s="277"/>
      <c r="K2" s="277"/>
    </row>
    <row r="3" spans="1:11" x14ac:dyDescent="0.25">
      <c r="B3" s="279"/>
      <c r="C3" s="279"/>
      <c r="D3" s="279"/>
      <c r="E3" s="279"/>
      <c r="F3" s="279"/>
      <c r="G3" s="279"/>
      <c r="H3" s="280"/>
      <c r="I3" s="279"/>
      <c r="J3" s="279"/>
    </row>
    <row r="4" spans="1:11" x14ac:dyDescent="0.25">
      <c r="C4" s="281" t="s">
        <v>257</v>
      </c>
    </row>
    <row r="5" spans="1:11" x14ac:dyDescent="0.25">
      <c r="C5" s="281"/>
    </row>
    <row r="6" spans="1:11" x14ac:dyDescent="0.25">
      <c r="C6" s="282" t="s">
        <v>258</v>
      </c>
      <c r="D6" s="283"/>
      <c r="E6" s="283"/>
      <c r="F6" s="283"/>
      <c r="G6" s="283"/>
      <c r="H6" s="283"/>
      <c r="I6" s="283"/>
      <c r="J6" s="283"/>
      <c r="K6" s="283"/>
    </row>
    <row r="7" spans="1:11" x14ac:dyDescent="0.25">
      <c r="C7" s="284" t="s">
        <v>259</v>
      </c>
      <c r="D7" s="283"/>
      <c r="E7" s="283"/>
      <c r="F7" s="283"/>
      <c r="G7" s="283"/>
      <c r="H7" s="283"/>
      <c r="I7" s="283"/>
      <c r="J7" s="283"/>
      <c r="K7" s="283"/>
    </row>
    <row r="8" spans="1:11" x14ac:dyDescent="0.25">
      <c r="C8" s="284" t="s">
        <v>260</v>
      </c>
      <c r="D8" s="283"/>
      <c r="E8" s="283"/>
      <c r="F8" s="283"/>
      <c r="G8" s="283"/>
      <c r="H8" s="283"/>
      <c r="I8" s="283"/>
      <c r="J8" s="283"/>
      <c r="K8" s="283"/>
    </row>
    <row r="9" spans="1:11" x14ac:dyDescent="0.25">
      <c r="C9" s="284" t="s">
        <v>261</v>
      </c>
      <c r="D9" s="283"/>
      <c r="E9" s="283"/>
      <c r="F9" s="283"/>
      <c r="G9" s="283"/>
      <c r="H9" s="283"/>
      <c r="I9" s="283"/>
      <c r="J9" s="283"/>
      <c r="K9" s="283"/>
    </row>
    <row r="10" spans="1:11" x14ac:dyDescent="0.25">
      <c r="C10" s="284"/>
      <c r="D10" s="283"/>
      <c r="E10" s="283"/>
      <c r="F10" s="283"/>
      <c r="G10" s="283"/>
      <c r="H10" s="283"/>
      <c r="I10" s="283"/>
      <c r="J10" s="283"/>
      <c r="K10" s="283"/>
    </row>
    <row r="11" spans="1:11" x14ac:dyDescent="0.25">
      <c r="C11" s="284" t="s">
        <v>262</v>
      </c>
      <c r="D11" s="283"/>
      <c r="E11" s="283"/>
      <c r="F11" s="283"/>
      <c r="G11" s="283"/>
      <c r="H11" s="283"/>
      <c r="I11" s="283"/>
      <c r="J11" s="283"/>
      <c r="K11" s="283"/>
    </row>
    <row r="12" spans="1:11" x14ac:dyDescent="0.25">
      <c r="C12" s="284" t="s">
        <v>263</v>
      </c>
      <c r="D12" s="283"/>
      <c r="E12" s="283"/>
      <c r="F12" s="283"/>
      <c r="G12" s="283"/>
      <c r="H12" s="283"/>
      <c r="I12" s="283"/>
      <c r="J12" s="283"/>
      <c r="K12" s="283"/>
    </row>
    <row r="13" spans="1:11" x14ac:dyDescent="0.25">
      <c r="C13" s="284" t="s">
        <v>264</v>
      </c>
      <c r="D13" s="283"/>
      <c r="E13" s="283"/>
      <c r="F13" s="283"/>
      <c r="G13" s="283"/>
      <c r="H13" s="283"/>
      <c r="I13" s="283"/>
      <c r="J13" s="283"/>
      <c r="K13" s="283"/>
    </row>
    <row r="14" spans="1:11" x14ac:dyDescent="0.25">
      <c r="C14" s="285" t="s">
        <v>265</v>
      </c>
      <c r="D14" s="283"/>
      <c r="E14" s="283"/>
      <c r="F14" s="283"/>
      <c r="G14" s="283"/>
      <c r="H14" s="283"/>
      <c r="I14" s="283"/>
      <c r="J14" s="283"/>
      <c r="K14" s="283"/>
    </row>
    <row r="15" spans="1:11" x14ac:dyDescent="0.25">
      <c r="C15" s="42"/>
    </row>
    <row r="16" spans="1:11" x14ac:dyDescent="0.25">
      <c r="C16" s="101" t="s">
        <v>161</v>
      </c>
    </row>
    <row r="17" spans="3:8" x14ac:dyDescent="0.25">
      <c r="C17" s="101"/>
    </row>
    <row r="18" spans="3:8" x14ac:dyDescent="0.25">
      <c r="C18" s="166" t="s">
        <v>266</v>
      </c>
      <c r="D18" s="286">
        <f>+COUNTA(C22:C54)</f>
        <v>8</v>
      </c>
    </row>
    <row r="19" spans="3:8" x14ac:dyDescent="0.25">
      <c r="C19" s="166" t="s">
        <v>267</v>
      </c>
      <c r="D19" s="286">
        <f>+COUNTA(E22:E54)</f>
        <v>33</v>
      </c>
    </row>
    <row r="21" spans="3:8" s="287" customFormat="1" x14ac:dyDescent="0.25">
      <c r="C21" s="345" t="s">
        <v>109</v>
      </c>
      <c r="D21" s="346" t="s">
        <v>110</v>
      </c>
      <c r="E21" s="347" t="s">
        <v>111</v>
      </c>
      <c r="F21" s="348" t="s">
        <v>112</v>
      </c>
      <c r="H21" s="101"/>
    </row>
    <row r="22" spans="3:8" x14ac:dyDescent="0.25">
      <c r="C22" s="74" t="s">
        <v>768</v>
      </c>
      <c r="D22" s="74" t="s">
        <v>545</v>
      </c>
      <c r="E22" s="74" t="s">
        <v>769</v>
      </c>
      <c r="F22" s="342" t="s">
        <v>371</v>
      </c>
      <c r="G22" s="42"/>
      <c r="H22" s="42"/>
    </row>
    <row r="23" spans="3:8" x14ac:dyDescent="0.25">
      <c r="C23" s="74"/>
      <c r="D23" s="74"/>
      <c r="E23" s="45" t="s">
        <v>770</v>
      </c>
      <c r="F23" s="349" t="s">
        <v>372</v>
      </c>
      <c r="G23" s="42"/>
      <c r="H23" s="42"/>
    </row>
    <row r="24" spans="3:8" x14ac:dyDescent="0.25">
      <c r="C24" s="74"/>
      <c r="D24" s="74"/>
      <c r="E24" s="45" t="s">
        <v>771</v>
      </c>
      <c r="F24" s="349" t="s">
        <v>373</v>
      </c>
      <c r="G24" s="42"/>
      <c r="H24" s="42"/>
    </row>
    <row r="25" spans="3:8" x14ac:dyDescent="0.25">
      <c r="C25" s="74"/>
      <c r="D25" s="74"/>
      <c r="E25" s="45" t="s">
        <v>772</v>
      </c>
      <c r="F25" s="349" t="s">
        <v>374</v>
      </c>
      <c r="G25" s="42"/>
      <c r="H25" s="42"/>
    </row>
    <row r="26" spans="3:8" x14ac:dyDescent="0.25">
      <c r="C26" s="75"/>
      <c r="D26" s="75"/>
      <c r="E26" s="44" t="s">
        <v>773</v>
      </c>
      <c r="F26" s="350" t="s">
        <v>375</v>
      </c>
      <c r="G26" s="42"/>
      <c r="H26" s="42"/>
    </row>
    <row r="27" spans="3:8" x14ac:dyDescent="0.25">
      <c r="C27" s="74" t="s">
        <v>774</v>
      </c>
      <c r="D27" s="74" t="s">
        <v>775</v>
      </c>
      <c r="E27" s="74" t="s">
        <v>776</v>
      </c>
      <c r="F27" s="342" t="s">
        <v>777</v>
      </c>
      <c r="G27" s="42"/>
      <c r="H27" s="42"/>
    </row>
    <row r="28" spans="3:8" x14ac:dyDescent="0.25">
      <c r="C28" s="74"/>
      <c r="D28" s="74"/>
      <c r="E28" s="45" t="s">
        <v>778</v>
      </c>
      <c r="F28" s="349" t="s">
        <v>779</v>
      </c>
      <c r="G28" s="42"/>
      <c r="H28" s="42"/>
    </row>
    <row r="29" spans="3:8" x14ac:dyDescent="0.25">
      <c r="C29" s="74"/>
      <c r="D29" s="74"/>
      <c r="E29" s="288" t="s">
        <v>780</v>
      </c>
      <c r="F29" s="351" t="s">
        <v>781</v>
      </c>
      <c r="G29" s="42"/>
      <c r="H29" s="42"/>
    </row>
    <row r="30" spans="3:8" x14ac:dyDescent="0.25">
      <c r="C30" s="74"/>
      <c r="D30" s="74"/>
      <c r="E30" s="288" t="s">
        <v>782</v>
      </c>
      <c r="F30" s="351" t="s">
        <v>783</v>
      </c>
      <c r="G30" s="42"/>
      <c r="H30" s="42"/>
    </row>
    <row r="31" spans="3:8" x14ac:dyDescent="0.25">
      <c r="C31" s="75"/>
      <c r="D31" s="75"/>
      <c r="E31" s="44" t="s">
        <v>784</v>
      </c>
      <c r="F31" s="350" t="s">
        <v>785</v>
      </c>
      <c r="G31" s="42"/>
      <c r="H31" s="42"/>
    </row>
    <row r="32" spans="3:8" x14ac:dyDescent="0.25">
      <c r="C32" s="74" t="s">
        <v>786</v>
      </c>
      <c r="D32" s="74" t="s">
        <v>471</v>
      </c>
      <c r="E32" s="74" t="s">
        <v>787</v>
      </c>
      <c r="F32" s="342" t="s">
        <v>788</v>
      </c>
      <c r="G32" s="42"/>
      <c r="H32" s="42"/>
    </row>
    <row r="33" spans="3:8" x14ac:dyDescent="0.25">
      <c r="C33" s="74"/>
      <c r="D33" s="74"/>
      <c r="E33" s="45" t="s">
        <v>789</v>
      </c>
      <c r="F33" s="349" t="s">
        <v>790</v>
      </c>
      <c r="G33" s="42"/>
      <c r="H33" s="42"/>
    </row>
    <row r="34" spans="3:8" x14ac:dyDescent="0.25">
      <c r="C34" s="75"/>
      <c r="D34" s="75"/>
      <c r="E34" s="44" t="s">
        <v>791</v>
      </c>
      <c r="F34" s="350" t="s">
        <v>792</v>
      </c>
      <c r="G34" s="42"/>
      <c r="H34" s="42"/>
    </row>
    <row r="35" spans="3:8" x14ac:dyDescent="0.25">
      <c r="C35" s="74" t="s">
        <v>793</v>
      </c>
      <c r="D35" s="74" t="s">
        <v>794</v>
      </c>
      <c r="E35" s="74" t="s">
        <v>795</v>
      </c>
      <c r="F35" s="342" t="s">
        <v>796</v>
      </c>
      <c r="G35" s="42"/>
      <c r="H35" s="42"/>
    </row>
    <row r="36" spans="3:8" x14ac:dyDescent="0.25">
      <c r="C36" s="74"/>
      <c r="D36" s="74"/>
      <c r="E36" s="45" t="s">
        <v>797</v>
      </c>
      <c r="F36" s="349" t="s">
        <v>798</v>
      </c>
      <c r="G36" s="42"/>
      <c r="H36" s="42"/>
    </row>
    <row r="37" spans="3:8" x14ac:dyDescent="0.25">
      <c r="C37" s="74"/>
      <c r="D37" s="74"/>
      <c r="E37" s="45" t="s">
        <v>799</v>
      </c>
      <c r="F37" s="349" t="s">
        <v>800</v>
      </c>
      <c r="G37" s="42"/>
      <c r="H37" s="42"/>
    </row>
    <row r="38" spans="3:8" x14ac:dyDescent="0.25">
      <c r="C38" s="75"/>
      <c r="D38" s="75"/>
      <c r="E38" s="44" t="s">
        <v>801</v>
      </c>
      <c r="F38" s="350" t="s">
        <v>802</v>
      </c>
      <c r="G38" s="42"/>
    </row>
    <row r="39" spans="3:8" x14ac:dyDescent="0.25">
      <c r="C39" s="289" t="s">
        <v>803</v>
      </c>
      <c r="D39" s="289" t="s">
        <v>804</v>
      </c>
      <c r="E39" s="290" t="s">
        <v>805</v>
      </c>
      <c r="F39" s="352" t="s">
        <v>806</v>
      </c>
      <c r="G39" s="42"/>
    </row>
    <row r="40" spans="3:8" x14ac:dyDescent="0.25">
      <c r="C40" s="74"/>
      <c r="D40" s="74"/>
      <c r="E40" s="45" t="s">
        <v>807</v>
      </c>
      <c r="F40" s="349" t="s">
        <v>808</v>
      </c>
      <c r="G40" s="42"/>
      <c r="H40" s="42"/>
    </row>
    <row r="41" spans="3:8" x14ac:dyDescent="0.25">
      <c r="C41" s="74"/>
      <c r="D41" s="74"/>
      <c r="E41" s="45" t="s">
        <v>809</v>
      </c>
      <c r="F41" s="349" t="s">
        <v>810</v>
      </c>
      <c r="G41" s="42"/>
      <c r="H41" s="42"/>
    </row>
    <row r="42" spans="3:8" x14ac:dyDescent="0.25">
      <c r="C42" s="74"/>
      <c r="D42" s="74"/>
      <c r="E42" s="45" t="s">
        <v>811</v>
      </c>
      <c r="F42" s="349" t="s">
        <v>812</v>
      </c>
      <c r="G42" s="42"/>
      <c r="H42" s="42"/>
    </row>
    <row r="43" spans="3:8" x14ac:dyDescent="0.25">
      <c r="C43" s="74"/>
      <c r="D43" s="342"/>
      <c r="E43" s="343" t="s">
        <v>813</v>
      </c>
      <c r="F43" s="353" t="s">
        <v>814</v>
      </c>
      <c r="G43" s="42"/>
      <c r="H43" s="42"/>
    </row>
    <row r="44" spans="3:8" x14ac:dyDescent="0.25">
      <c r="C44" s="75"/>
      <c r="D44" s="43"/>
      <c r="E44" s="75" t="s">
        <v>815</v>
      </c>
      <c r="F44" s="43" t="s">
        <v>816</v>
      </c>
      <c r="G44" s="42"/>
      <c r="H44" s="42"/>
    </row>
    <row r="45" spans="3:8" x14ac:dyDescent="0.25">
      <c r="C45" s="344" t="s">
        <v>817</v>
      </c>
      <c r="D45" s="344" t="s">
        <v>818</v>
      </c>
      <c r="E45" s="344" t="s">
        <v>819</v>
      </c>
      <c r="F45" s="354" t="s">
        <v>820</v>
      </c>
      <c r="G45" s="42"/>
      <c r="H45" s="42"/>
    </row>
    <row r="46" spans="3:8" x14ac:dyDescent="0.25">
      <c r="C46" s="74" t="s">
        <v>821</v>
      </c>
      <c r="D46" s="74" t="s">
        <v>822</v>
      </c>
      <c r="E46" s="82" t="s">
        <v>823</v>
      </c>
      <c r="F46" s="355" t="s">
        <v>824</v>
      </c>
      <c r="G46" s="42"/>
      <c r="H46" s="42"/>
    </row>
    <row r="47" spans="3:8" x14ac:dyDescent="0.25">
      <c r="C47" s="74"/>
      <c r="D47" s="74"/>
      <c r="E47" s="45" t="s">
        <v>825</v>
      </c>
      <c r="F47" s="349" t="s">
        <v>826</v>
      </c>
      <c r="G47" s="42"/>
      <c r="H47" s="42"/>
    </row>
    <row r="48" spans="3:8" x14ac:dyDescent="0.25">
      <c r="C48" s="74"/>
      <c r="D48" s="74"/>
      <c r="E48" s="343" t="s">
        <v>827</v>
      </c>
      <c r="F48" s="353" t="s">
        <v>828</v>
      </c>
      <c r="G48" s="42"/>
      <c r="H48" s="42"/>
    </row>
    <row r="49" spans="3:8" x14ac:dyDescent="0.25">
      <c r="C49" s="74"/>
      <c r="D49" s="74"/>
      <c r="E49" s="343" t="s">
        <v>829</v>
      </c>
      <c r="F49" s="353" t="s">
        <v>830</v>
      </c>
      <c r="G49" s="42"/>
      <c r="H49" s="42"/>
    </row>
    <row r="50" spans="3:8" x14ac:dyDescent="0.25">
      <c r="C50" s="74"/>
      <c r="D50" s="74"/>
      <c r="E50" s="343" t="s">
        <v>831</v>
      </c>
      <c r="F50" s="353" t="s">
        <v>832</v>
      </c>
      <c r="G50" s="42"/>
      <c r="H50" s="42"/>
    </row>
    <row r="51" spans="3:8" x14ac:dyDescent="0.25">
      <c r="C51" s="75"/>
      <c r="D51" s="75"/>
      <c r="E51" s="75" t="s">
        <v>833</v>
      </c>
      <c r="F51" s="43" t="s">
        <v>834</v>
      </c>
      <c r="G51" s="42"/>
      <c r="H51" s="42"/>
    </row>
    <row r="52" spans="3:8" x14ac:dyDescent="0.25">
      <c r="C52" s="74" t="s">
        <v>544</v>
      </c>
      <c r="D52" s="74" t="s">
        <v>835</v>
      </c>
      <c r="E52" s="82" t="s">
        <v>836</v>
      </c>
      <c r="F52" s="355" t="s">
        <v>837</v>
      </c>
      <c r="G52" s="42"/>
      <c r="H52" s="42"/>
    </row>
    <row r="53" spans="3:8" x14ac:dyDescent="0.25">
      <c r="C53" s="74"/>
      <c r="D53" s="74"/>
      <c r="E53" s="45" t="s">
        <v>838</v>
      </c>
      <c r="F53" s="349" t="s">
        <v>839</v>
      </c>
      <c r="G53" s="42"/>
      <c r="H53" s="42"/>
    </row>
    <row r="54" spans="3:8" x14ac:dyDescent="0.25">
      <c r="C54" s="75"/>
      <c r="D54" s="75"/>
      <c r="E54" s="75" t="s">
        <v>840</v>
      </c>
      <c r="F54" s="43" t="s">
        <v>841</v>
      </c>
      <c r="G54" s="42"/>
      <c r="H54" s="42"/>
    </row>
    <row r="55" spans="3:8" x14ac:dyDescent="0.25">
      <c r="C55" s="42"/>
      <c r="D55" s="42"/>
      <c r="E55" s="42"/>
      <c r="F55" s="42"/>
      <c r="G55" s="42"/>
      <c r="H55" s="42"/>
    </row>
    <row r="56" spans="3:8" x14ac:dyDescent="0.25">
      <c r="C56" s="42"/>
      <c r="D56" s="42"/>
      <c r="E56" s="42"/>
      <c r="F56" s="42"/>
      <c r="G56" s="42"/>
      <c r="H56" s="42"/>
    </row>
    <row r="57" spans="3:8" x14ac:dyDescent="0.25">
      <c r="C57" s="42"/>
      <c r="D57" s="42"/>
      <c r="E57" s="42"/>
      <c r="F57" s="42"/>
      <c r="G57" s="42"/>
      <c r="H57" s="42"/>
    </row>
    <row r="70" ht="12.75" customHeight="1" x14ac:dyDescent="0.25"/>
    <row r="71" ht="12.75" customHeight="1" x14ac:dyDescent="0.25"/>
    <row r="72" ht="12.75" customHeight="1" x14ac:dyDescent="0.25"/>
    <row r="73" ht="12.75" customHeight="1" x14ac:dyDescent="0.25"/>
    <row r="74" ht="12.75" customHeight="1" x14ac:dyDescent="0.25"/>
  </sheetData>
  <phoneticPr fontId="18" type="noConversion"/>
  <hyperlinks>
    <hyperlink ref="H65" r:id="rId1" display="hbeak@deloitte.com" xr:uid="{29C5AC0C-B227-4289-BE5B-D887DC5229AA}"/>
    <hyperlink ref="H66" r:id="rId2" display="seungyjung@deloitte.com" xr:uid="{11CF2353-5B71-489E-B6D6-38A0609404FC}"/>
    <hyperlink ref="H73" r:id="rId3" display="hbeak@deloitte.com" xr:uid="{BD6C58A6-2C13-4813-9028-D8430093C182}"/>
    <hyperlink ref="H77" r:id="rId4" display="hbeak@deloitte.com" xr:uid="{9ADEE6CC-4132-48C1-9665-C83616792E79}"/>
    <hyperlink ref="H64" r:id="rId5" display="gwajang@deloitte.com" xr:uid="{7A6E6AF6-CDBF-4BF1-B151-09F1AD3A8CA3}"/>
    <hyperlink ref="H67" r:id="rId6" display="taehylee@deloitte.com" xr:uid="{7E7826DA-B3ED-4457-B92F-C0D69BBF350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1"/>
  </sheetPr>
  <dimension ref="B2:AE56"/>
  <sheetViews>
    <sheetView showGridLines="0" zoomScale="85" zoomScaleNormal="85" workbookViewId="0">
      <selection activeCell="F44" sqref="F44"/>
    </sheetView>
  </sheetViews>
  <sheetFormatPr defaultColWidth="8.08203125" defaultRowHeight="12.5" outlineLevelRow="1" x14ac:dyDescent="0.25"/>
  <cols>
    <col min="1" max="1" width="3.33203125" style="136" customWidth="1"/>
    <col min="2" max="2" width="11.08203125" style="180" customWidth="1"/>
    <col min="3" max="10" width="12.33203125" style="136" customWidth="1"/>
    <col min="11" max="13" width="8.08203125" style="136"/>
    <col min="14" max="14" width="28.33203125" style="136" customWidth="1"/>
    <col min="15" max="16384" width="8.08203125" style="136"/>
  </cols>
  <sheetData>
    <row r="2" spans="2:31" s="133" customFormat="1" ht="20.149999999999999" customHeight="1" x14ac:dyDescent="0.25">
      <c r="B2" s="130" t="s">
        <v>24</v>
      </c>
      <c r="C2" s="131"/>
      <c r="D2" s="131"/>
      <c r="E2" s="131"/>
      <c r="F2" s="131"/>
      <c r="G2" s="131"/>
      <c r="H2" s="131"/>
      <c r="I2" s="131"/>
      <c r="J2" s="132"/>
      <c r="L2" s="134"/>
      <c r="X2" s="135"/>
      <c r="Y2" s="135"/>
      <c r="Z2" s="135"/>
      <c r="AA2" s="136"/>
      <c r="AB2" s="136"/>
      <c r="AC2" s="136"/>
      <c r="AD2" s="136"/>
      <c r="AE2" s="136"/>
    </row>
    <row r="3" spans="2:31" ht="12.75" customHeight="1" x14ac:dyDescent="0.25">
      <c r="B3" s="137"/>
      <c r="C3" s="138"/>
      <c r="D3" s="139"/>
      <c r="E3" s="139"/>
      <c r="F3" s="139"/>
      <c r="G3" s="139"/>
      <c r="H3" s="139"/>
      <c r="I3" s="139"/>
      <c r="J3" s="140"/>
      <c r="X3" s="135"/>
      <c r="Y3" s="135"/>
      <c r="Z3" s="135"/>
    </row>
    <row r="4" spans="2:31" ht="12.75" customHeight="1" x14ac:dyDescent="0.25">
      <c r="B4" s="141" t="s">
        <v>144</v>
      </c>
      <c r="C4" s="381" t="s">
        <v>26</v>
      </c>
      <c r="D4" s="382"/>
      <c r="E4" s="382"/>
      <c r="F4" s="382"/>
      <c r="G4" s="382"/>
      <c r="H4" s="382"/>
      <c r="I4" s="382"/>
      <c r="J4" s="383"/>
      <c r="X4" s="135"/>
      <c r="Y4" s="135"/>
      <c r="Z4" s="135"/>
    </row>
    <row r="5" spans="2:31" ht="92.25" customHeight="1" x14ac:dyDescent="0.25">
      <c r="B5" s="141"/>
      <c r="C5" s="391" t="s">
        <v>173</v>
      </c>
      <c r="D5" s="392"/>
      <c r="E5" s="392"/>
      <c r="F5" s="392"/>
      <c r="G5" s="392"/>
      <c r="H5" s="392"/>
      <c r="I5" s="392"/>
      <c r="J5" s="393"/>
      <c r="X5" s="135"/>
      <c r="Y5" s="135"/>
      <c r="Z5" s="135"/>
    </row>
    <row r="6" spans="2:31" ht="12.75" customHeight="1" x14ac:dyDescent="0.25">
      <c r="B6" s="142"/>
      <c r="C6" s="388"/>
      <c r="D6" s="389"/>
      <c r="E6" s="389"/>
      <c r="F6" s="389"/>
      <c r="G6" s="389"/>
      <c r="H6" s="389"/>
      <c r="I6" s="389"/>
      <c r="J6" s="390"/>
      <c r="X6" s="135"/>
      <c r="Y6" s="135"/>
      <c r="Z6" s="135"/>
    </row>
    <row r="7" spans="2:31" ht="13" x14ac:dyDescent="0.25">
      <c r="B7" s="141"/>
      <c r="C7" s="138"/>
      <c r="D7" s="139"/>
      <c r="E7" s="139"/>
      <c r="F7" s="139"/>
      <c r="G7" s="139"/>
      <c r="H7" s="139"/>
      <c r="I7" s="139"/>
      <c r="J7" s="140"/>
      <c r="X7" s="135"/>
      <c r="Y7" s="135"/>
      <c r="Z7" s="135"/>
    </row>
    <row r="8" spans="2:31" ht="13" x14ac:dyDescent="0.25">
      <c r="B8" s="141" t="s">
        <v>25</v>
      </c>
      <c r="C8" s="381" t="s">
        <v>166</v>
      </c>
      <c r="D8" s="382"/>
      <c r="E8" s="382"/>
      <c r="F8" s="382"/>
      <c r="G8" s="382"/>
      <c r="H8" s="382"/>
      <c r="I8" s="382"/>
      <c r="J8" s="383"/>
      <c r="X8" s="135"/>
      <c r="Y8" s="135"/>
      <c r="Z8" s="135"/>
    </row>
    <row r="9" spans="2:31" ht="61.5" customHeight="1" x14ac:dyDescent="0.25">
      <c r="B9" s="141"/>
      <c r="C9" s="391" t="s">
        <v>193</v>
      </c>
      <c r="D9" s="392"/>
      <c r="E9" s="392"/>
      <c r="F9" s="392"/>
      <c r="G9" s="392"/>
      <c r="H9" s="392"/>
      <c r="I9" s="392"/>
      <c r="J9" s="393"/>
      <c r="X9" s="135"/>
      <c r="Y9" s="135"/>
      <c r="Z9" s="135"/>
    </row>
    <row r="10" spans="2:31" ht="13.75" customHeight="1" x14ac:dyDescent="0.25">
      <c r="B10" s="142"/>
      <c r="C10" s="388"/>
      <c r="D10" s="389"/>
      <c r="E10" s="389"/>
      <c r="F10" s="389"/>
      <c r="G10" s="389"/>
      <c r="H10" s="389"/>
      <c r="I10" s="389"/>
      <c r="J10" s="390"/>
      <c r="X10" s="135"/>
      <c r="Y10" s="135"/>
      <c r="Z10" s="135"/>
    </row>
    <row r="11" spans="2:31" ht="13.75" customHeight="1" outlineLevel="1" x14ac:dyDescent="0.25">
      <c r="B11" s="143"/>
      <c r="C11" s="144"/>
      <c r="D11" s="145"/>
      <c r="E11" s="145"/>
      <c r="F11" s="145"/>
      <c r="G11" s="145"/>
      <c r="H11" s="145"/>
      <c r="I11" s="145"/>
      <c r="J11" s="146"/>
      <c r="K11" s="147" t="s">
        <v>174</v>
      </c>
      <c r="X11" s="135"/>
      <c r="Y11" s="135"/>
      <c r="Z11" s="135"/>
    </row>
    <row r="12" spans="2:31" ht="13.75" customHeight="1" outlineLevel="1" x14ac:dyDescent="0.25">
      <c r="B12" s="141" t="s">
        <v>148</v>
      </c>
      <c r="C12" s="381" t="s">
        <v>156</v>
      </c>
      <c r="D12" s="382"/>
      <c r="E12" s="382"/>
      <c r="F12" s="382"/>
      <c r="G12" s="382"/>
      <c r="H12" s="382"/>
      <c r="I12" s="382"/>
      <c r="J12" s="383"/>
      <c r="X12" s="135"/>
      <c r="Y12" s="135"/>
      <c r="Z12" s="135"/>
    </row>
    <row r="13" spans="2:31" ht="27.75" customHeight="1" outlineLevel="1" x14ac:dyDescent="0.25">
      <c r="B13" s="141"/>
      <c r="C13" s="384" t="s">
        <v>157</v>
      </c>
      <c r="D13" s="384"/>
      <c r="E13" s="384"/>
      <c r="F13" s="384"/>
      <c r="G13" s="384"/>
      <c r="H13" s="384"/>
      <c r="I13" s="384"/>
      <c r="J13" s="387"/>
      <c r="X13" s="135"/>
      <c r="Y13" s="135"/>
      <c r="Z13" s="135"/>
    </row>
    <row r="14" spans="2:31" ht="13.75" customHeight="1" outlineLevel="1" x14ac:dyDescent="0.25">
      <c r="B14" s="141"/>
      <c r="C14" s="148" t="s">
        <v>152</v>
      </c>
      <c r="D14" s="149"/>
      <c r="E14" s="149"/>
      <c r="F14" s="149"/>
      <c r="G14" s="149"/>
      <c r="H14" s="150"/>
      <c r="I14" s="151"/>
      <c r="J14" s="152"/>
      <c r="X14" s="135"/>
      <c r="Y14" s="135"/>
      <c r="Z14" s="135"/>
    </row>
    <row r="15" spans="2:31" ht="13.75" customHeight="1" outlineLevel="1" x14ac:dyDescent="0.25">
      <c r="B15" s="141"/>
      <c r="C15" s="153" t="s">
        <v>153</v>
      </c>
      <c r="D15" s="151"/>
      <c r="E15" s="151"/>
      <c r="F15" s="151"/>
      <c r="G15" s="151"/>
      <c r="H15" s="154"/>
      <c r="I15" s="151"/>
      <c r="J15" s="152"/>
      <c r="X15" s="135"/>
      <c r="Y15" s="135"/>
      <c r="Z15" s="135"/>
    </row>
    <row r="16" spans="2:31" ht="13.75" customHeight="1" outlineLevel="1" x14ac:dyDescent="0.25">
      <c r="B16" s="141"/>
      <c r="C16" s="153" t="s">
        <v>150</v>
      </c>
      <c r="D16" s="151"/>
      <c r="E16" s="151"/>
      <c r="F16" s="151"/>
      <c r="G16" s="151"/>
      <c r="H16" s="154"/>
      <c r="I16" s="151"/>
      <c r="J16" s="152"/>
      <c r="X16" s="135"/>
      <c r="Y16" s="135"/>
      <c r="Z16" s="135"/>
    </row>
    <row r="17" spans="2:11" ht="13.75" customHeight="1" outlineLevel="1" x14ac:dyDescent="0.25">
      <c r="B17" s="141"/>
      <c r="C17" s="153" t="s">
        <v>151</v>
      </c>
      <c r="D17" s="151"/>
      <c r="E17" s="151"/>
      <c r="F17" s="151"/>
      <c r="G17" s="151"/>
      <c r="H17" s="154"/>
      <c r="I17" s="151"/>
      <c r="J17" s="152"/>
    </row>
    <row r="18" spans="2:11" ht="13.75" customHeight="1" outlineLevel="1" x14ac:dyDescent="0.25">
      <c r="B18" s="141"/>
      <c r="C18" s="153" t="s">
        <v>154</v>
      </c>
      <c r="D18" s="151"/>
      <c r="E18" s="151"/>
      <c r="F18" s="151"/>
      <c r="G18" s="151"/>
      <c r="H18" s="154"/>
      <c r="I18" s="151"/>
      <c r="J18" s="152"/>
    </row>
    <row r="19" spans="2:11" ht="13.75" customHeight="1" outlineLevel="1" x14ac:dyDescent="0.25">
      <c r="B19" s="141"/>
      <c r="C19" s="155"/>
      <c r="D19" s="156"/>
      <c r="E19" s="156"/>
      <c r="F19" s="156"/>
      <c r="G19" s="156"/>
      <c r="H19" s="157"/>
      <c r="I19" s="151"/>
      <c r="J19" s="152"/>
    </row>
    <row r="20" spans="2:11" ht="13.75" customHeight="1" outlineLevel="1" x14ac:dyDescent="0.25">
      <c r="B20" s="141"/>
      <c r="C20" s="158"/>
      <c r="D20" s="151"/>
      <c r="E20" s="151"/>
      <c r="F20" s="151"/>
      <c r="G20" s="151"/>
      <c r="H20" s="151"/>
      <c r="I20" s="151"/>
      <c r="J20" s="152"/>
    </row>
    <row r="21" spans="2:11" ht="34.5" customHeight="1" outlineLevel="1" x14ac:dyDescent="0.25">
      <c r="B21" s="141"/>
      <c r="C21" s="384" t="s">
        <v>155</v>
      </c>
      <c r="D21" s="385"/>
      <c r="E21" s="385"/>
      <c r="F21" s="385"/>
      <c r="G21" s="385"/>
      <c r="H21" s="385"/>
      <c r="I21" s="385"/>
      <c r="J21" s="386"/>
    </row>
    <row r="22" spans="2:11" ht="13.75" customHeight="1" outlineLevel="1" x14ac:dyDescent="0.25">
      <c r="B22" s="141"/>
      <c r="C22" s="159"/>
      <c r="D22" s="160"/>
      <c r="E22" s="160"/>
      <c r="F22" s="160"/>
      <c r="G22" s="160"/>
      <c r="H22" s="160"/>
      <c r="I22" s="160"/>
      <c r="J22" s="161"/>
    </row>
    <row r="23" spans="2:11" ht="13.75" customHeight="1" outlineLevel="1" x14ac:dyDescent="0.25">
      <c r="B23" s="141"/>
      <c r="C23" s="384" t="s">
        <v>158</v>
      </c>
      <c r="D23" s="385"/>
      <c r="E23" s="385"/>
      <c r="F23" s="385"/>
      <c r="G23" s="385"/>
      <c r="H23" s="385"/>
      <c r="I23" s="385"/>
      <c r="J23" s="386"/>
    </row>
    <row r="24" spans="2:11" ht="30" customHeight="1" outlineLevel="1" x14ac:dyDescent="0.25">
      <c r="B24" s="141"/>
      <c r="C24" s="384" t="s">
        <v>149</v>
      </c>
      <c r="D24" s="385"/>
      <c r="E24" s="385"/>
      <c r="F24" s="385"/>
      <c r="G24" s="385"/>
      <c r="H24" s="385"/>
      <c r="I24" s="385"/>
      <c r="J24" s="386"/>
    </row>
    <row r="25" spans="2:11" ht="13.75" customHeight="1" outlineLevel="1" x14ac:dyDescent="0.25">
      <c r="B25" s="141"/>
      <c r="C25" s="162"/>
      <c r="D25" s="139"/>
      <c r="E25" s="139"/>
      <c r="F25" s="139"/>
      <c r="G25" s="139"/>
      <c r="H25" s="139"/>
      <c r="I25" s="139"/>
      <c r="J25" s="140"/>
    </row>
    <row r="26" spans="2:11" ht="13.75" customHeight="1" outlineLevel="1" x14ac:dyDescent="0.25">
      <c r="B26" s="142"/>
      <c r="C26" s="163"/>
      <c r="D26" s="164"/>
      <c r="E26" s="164"/>
      <c r="F26" s="164"/>
      <c r="G26" s="164"/>
      <c r="H26" s="164"/>
      <c r="I26" s="164"/>
      <c r="J26" s="165"/>
    </row>
    <row r="27" spans="2:11" ht="5.25" customHeight="1" outlineLevel="1" x14ac:dyDescent="0.25">
      <c r="B27" s="143"/>
      <c r="C27" s="144"/>
      <c r="D27" s="145"/>
      <c r="E27" s="145"/>
      <c r="F27" s="145"/>
      <c r="G27" s="145"/>
      <c r="H27" s="145"/>
      <c r="I27" s="145"/>
      <c r="J27" s="146"/>
    </row>
    <row r="28" spans="2:11" ht="13.75" customHeight="1" outlineLevel="1" x14ac:dyDescent="0.25">
      <c r="B28" s="141" t="s">
        <v>159</v>
      </c>
      <c r="C28" s="381" t="s">
        <v>160</v>
      </c>
      <c r="D28" s="382"/>
      <c r="E28" s="382"/>
      <c r="F28" s="382"/>
      <c r="G28" s="382"/>
      <c r="H28" s="382"/>
      <c r="I28" s="382"/>
      <c r="J28" s="383"/>
      <c r="K28" s="147" t="s">
        <v>174</v>
      </c>
    </row>
    <row r="29" spans="2:11" ht="12.75" customHeight="1" outlineLevel="1" x14ac:dyDescent="0.25">
      <c r="B29" s="141"/>
      <c r="C29" s="166" t="s">
        <v>187</v>
      </c>
      <c r="D29" s="135"/>
      <c r="E29" s="135"/>
      <c r="F29" s="135"/>
      <c r="G29" s="135"/>
      <c r="H29" s="135"/>
      <c r="J29" s="167"/>
    </row>
    <row r="30" spans="2:11" ht="13" outlineLevel="1" x14ac:dyDescent="0.25">
      <c r="B30" s="141"/>
      <c r="C30" s="166"/>
      <c r="D30" s="135"/>
      <c r="E30" s="135"/>
      <c r="F30" s="135"/>
      <c r="G30" s="135"/>
      <c r="H30" s="135"/>
      <c r="J30" s="167"/>
    </row>
    <row r="31" spans="2:11" ht="27" customHeight="1" outlineLevel="1" x14ac:dyDescent="0.25">
      <c r="B31" s="141"/>
      <c r="C31" s="168" t="s">
        <v>27</v>
      </c>
      <c r="D31" s="169"/>
      <c r="E31" s="169"/>
      <c r="F31" s="169"/>
      <c r="G31" s="169"/>
      <c r="H31" s="170"/>
      <c r="J31" s="167"/>
    </row>
    <row r="32" spans="2:11" ht="13" outlineLevel="1" x14ac:dyDescent="0.25">
      <c r="B32" s="141"/>
      <c r="C32" s="171" t="s">
        <v>28</v>
      </c>
      <c r="D32" s="135"/>
      <c r="E32" s="135"/>
      <c r="F32" s="135"/>
      <c r="G32" s="135"/>
      <c r="H32" s="172"/>
      <c r="J32" s="167"/>
    </row>
    <row r="33" spans="2:10" ht="13.75" customHeight="1" outlineLevel="1" x14ac:dyDescent="0.25">
      <c r="B33" s="141"/>
      <c r="C33" s="171" t="s">
        <v>29</v>
      </c>
      <c r="D33" s="135"/>
      <c r="E33" s="135"/>
      <c r="F33" s="135"/>
      <c r="G33" s="135"/>
      <c r="H33" s="172"/>
      <c r="J33" s="167"/>
    </row>
    <row r="34" spans="2:10" ht="12" customHeight="1" outlineLevel="1" x14ac:dyDescent="0.25">
      <c r="B34" s="141"/>
      <c r="C34" s="171" t="s">
        <v>30</v>
      </c>
      <c r="D34" s="135"/>
      <c r="E34" s="135"/>
      <c r="F34" s="135"/>
      <c r="G34" s="135"/>
      <c r="H34" s="172"/>
      <c r="J34" s="167"/>
    </row>
    <row r="35" spans="2:10" ht="12" customHeight="1" outlineLevel="1" x14ac:dyDescent="0.25">
      <c r="B35" s="141"/>
      <c r="C35" s="171" t="s">
        <v>31</v>
      </c>
      <c r="D35" s="135"/>
      <c r="E35" s="135"/>
      <c r="F35" s="135"/>
      <c r="G35" s="135"/>
      <c r="H35" s="172"/>
      <c r="J35" s="167"/>
    </row>
    <row r="36" spans="2:10" ht="12" customHeight="1" outlineLevel="1" x14ac:dyDescent="0.25">
      <c r="B36" s="141"/>
      <c r="C36" s="171" t="s">
        <v>32</v>
      </c>
      <c r="D36" s="135"/>
      <c r="E36" s="135"/>
      <c r="F36" s="135"/>
      <c r="G36" s="135"/>
      <c r="H36" s="172"/>
      <c r="J36" s="167"/>
    </row>
    <row r="37" spans="2:10" ht="13.75" customHeight="1" outlineLevel="1" x14ac:dyDescent="0.25">
      <c r="B37" s="141"/>
      <c r="C37" s="171" t="s">
        <v>33</v>
      </c>
      <c r="D37" s="135"/>
      <c r="E37" s="135"/>
      <c r="F37" s="135"/>
      <c r="G37" s="135"/>
      <c r="H37" s="172"/>
      <c r="J37" s="167"/>
    </row>
    <row r="38" spans="2:10" ht="7.5" customHeight="1" outlineLevel="1" x14ac:dyDescent="0.25">
      <c r="B38" s="141"/>
      <c r="C38" s="171"/>
      <c r="D38" s="135"/>
      <c r="E38" s="135"/>
      <c r="F38" s="135"/>
      <c r="G38" s="135"/>
      <c r="H38" s="172"/>
      <c r="J38" s="167"/>
    </row>
    <row r="39" spans="2:10" ht="13" outlineLevel="1" x14ac:dyDescent="0.25">
      <c r="B39" s="141"/>
      <c r="C39" s="173" t="s">
        <v>34</v>
      </c>
      <c r="D39" s="135"/>
      <c r="E39" s="135"/>
      <c r="F39" s="135"/>
      <c r="G39" s="135"/>
      <c r="H39" s="172"/>
      <c r="J39" s="167"/>
    </row>
    <row r="40" spans="2:10" ht="13.75" customHeight="1" outlineLevel="1" x14ac:dyDescent="0.25">
      <c r="B40" s="141"/>
      <c r="C40" s="171" t="s">
        <v>35</v>
      </c>
      <c r="D40" s="135"/>
      <c r="E40" s="135"/>
      <c r="F40" s="135"/>
      <c r="G40" s="135"/>
      <c r="H40" s="172"/>
      <c r="J40" s="167"/>
    </row>
    <row r="41" spans="2:10" ht="13" outlineLevel="1" x14ac:dyDescent="0.25">
      <c r="B41" s="141"/>
      <c r="C41" s="171" t="s">
        <v>36</v>
      </c>
      <c r="D41" s="135"/>
      <c r="E41" s="135"/>
      <c r="F41" s="135"/>
      <c r="G41" s="135"/>
      <c r="H41" s="172"/>
      <c r="J41" s="167"/>
    </row>
    <row r="42" spans="2:10" ht="13.75" customHeight="1" outlineLevel="1" x14ac:dyDescent="0.25">
      <c r="B42" s="141"/>
      <c r="C42" s="171" t="s">
        <v>37</v>
      </c>
      <c r="D42" s="135"/>
      <c r="E42" s="135"/>
      <c r="F42" s="135"/>
      <c r="G42" s="135"/>
      <c r="H42" s="172"/>
      <c r="J42" s="167"/>
    </row>
    <row r="43" spans="2:10" ht="12" customHeight="1" outlineLevel="1" x14ac:dyDescent="0.25">
      <c r="B43" s="141"/>
      <c r="C43" s="174"/>
      <c r="D43" s="135"/>
      <c r="E43" s="135"/>
      <c r="F43" s="135"/>
      <c r="G43" s="135"/>
      <c r="H43" s="172"/>
      <c r="J43" s="167"/>
    </row>
    <row r="44" spans="2:10" ht="13.75" customHeight="1" outlineLevel="1" x14ac:dyDescent="0.25">
      <c r="B44" s="141"/>
      <c r="C44" s="171" t="s">
        <v>38</v>
      </c>
      <c r="D44" s="135"/>
      <c r="E44" s="135"/>
      <c r="F44" s="135"/>
      <c r="G44" s="135"/>
      <c r="H44" s="172"/>
      <c r="J44" s="167"/>
    </row>
    <row r="45" spans="2:10" ht="13" outlineLevel="1" x14ac:dyDescent="0.25">
      <c r="B45" s="141"/>
      <c r="C45" s="171" t="s">
        <v>39</v>
      </c>
      <c r="D45" s="135"/>
      <c r="E45" s="135"/>
      <c r="F45" s="135"/>
      <c r="G45" s="135"/>
      <c r="H45" s="172"/>
      <c r="J45" s="167"/>
    </row>
    <row r="46" spans="2:10" ht="13" outlineLevel="1" x14ac:dyDescent="0.25">
      <c r="B46" s="141"/>
      <c r="C46" s="171" t="s">
        <v>40</v>
      </c>
      <c r="D46" s="135"/>
      <c r="E46" s="135"/>
      <c r="F46" s="135"/>
      <c r="G46" s="135"/>
      <c r="H46" s="172"/>
      <c r="J46" s="167"/>
    </row>
    <row r="47" spans="2:10" ht="7.5" customHeight="1" outlineLevel="1" x14ac:dyDescent="0.25">
      <c r="B47" s="141"/>
      <c r="C47" s="171"/>
      <c r="D47" s="135"/>
      <c r="E47" s="135"/>
      <c r="F47" s="135"/>
      <c r="G47" s="135"/>
      <c r="H47" s="172"/>
      <c r="J47" s="167"/>
    </row>
    <row r="48" spans="2:10" ht="13" outlineLevel="1" x14ac:dyDescent="0.25">
      <c r="B48" s="141"/>
      <c r="C48" s="173" t="s">
        <v>41</v>
      </c>
      <c r="D48" s="135"/>
      <c r="E48" s="135"/>
      <c r="F48" s="135"/>
      <c r="G48" s="135"/>
      <c r="H48" s="172"/>
      <c r="J48" s="167"/>
    </row>
    <row r="49" spans="2:10" ht="13" outlineLevel="1" x14ac:dyDescent="0.25">
      <c r="B49" s="141"/>
      <c r="C49" s="171" t="s">
        <v>42</v>
      </c>
      <c r="D49" s="135"/>
      <c r="E49" s="135"/>
      <c r="F49" s="135"/>
      <c r="G49" s="135"/>
      <c r="H49" s="172"/>
      <c r="J49" s="167"/>
    </row>
    <row r="50" spans="2:10" ht="12" customHeight="1" outlineLevel="1" x14ac:dyDescent="0.25">
      <c r="B50" s="141"/>
      <c r="C50" s="171" t="s">
        <v>43</v>
      </c>
      <c r="D50" s="135"/>
      <c r="E50" s="135"/>
      <c r="F50" s="135"/>
      <c r="G50" s="135"/>
      <c r="H50" s="172"/>
      <c r="J50" s="167"/>
    </row>
    <row r="51" spans="2:10" ht="13" outlineLevel="1" x14ac:dyDescent="0.25">
      <c r="B51" s="141"/>
      <c r="C51" s="171" t="s">
        <v>44</v>
      </c>
      <c r="D51" s="135"/>
      <c r="E51" s="135"/>
      <c r="F51" s="135"/>
      <c r="G51" s="135"/>
      <c r="H51" s="172"/>
      <c r="J51" s="167"/>
    </row>
    <row r="52" spans="2:10" ht="13" outlineLevel="1" x14ac:dyDescent="0.25">
      <c r="B52" s="141"/>
      <c r="C52" s="171" t="s">
        <v>45</v>
      </c>
      <c r="D52" s="135"/>
      <c r="E52" s="135"/>
      <c r="F52" s="135"/>
      <c r="G52" s="135"/>
      <c r="H52" s="172"/>
      <c r="J52" s="167"/>
    </row>
    <row r="53" spans="2:10" ht="13" outlineLevel="1" x14ac:dyDescent="0.25">
      <c r="B53" s="141"/>
      <c r="C53" s="171" t="s">
        <v>46</v>
      </c>
      <c r="D53" s="135"/>
      <c r="E53" s="135"/>
      <c r="F53" s="135"/>
      <c r="G53" s="135"/>
      <c r="H53" s="172"/>
      <c r="J53" s="167"/>
    </row>
    <row r="54" spans="2:10" ht="13" outlineLevel="1" x14ac:dyDescent="0.25">
      <c r="B54" s="141"/>
      <c r="C54" s="171" t="s">
        <v>47</v>
      </c>
      <c r="D54" s="135"/>
      <c r="E54" s="135"/>
      <c r="F54" s="135"/>
      <c r="G54" s="135"/>
      <c r="H54" s="172"/>
      <c r="J54" s="167"/>
    </row>
    <row r="55" spans="2:10" ht="13" outlineLevel="1" x14ac:dyDescent="0.25">
      <c r="B55" s="141"/>
      <c r="C55" s="175" t="s">
        <v>48</v>
      </c>
      <c r="D55" s="176"/>
      <c r="E55" s="176"/>
      <c r="F55" s="176"/>
      <c r="G55" s="176"/>
      <c r="H55" s="177"/>
      <c r="J55" s="167"/>
    </row>
    <row r="56" spans="2:10" ht="12" customHeight="1" outlineLevel="1" x14ac:dyDescent="0.25">
      <c r="B56" s="142"/>
      <c r="C56" s="178"/>
      <c r="D56" s="178"/>
      <c r="E56" s="178"/>
      <c r="F56" s="178"/>
      <c r="G56" s="178"/>
      <c r="H56" s="178"/>
      <c r="I56" s="178"/>
      <c r="J56" s="179"/>
    </row>
  </sheetData>
  <mergeCells count="12">
    <mergeCell ref="C10:J10"/>
    <mergeCell ref="C4:J4"/>
    <mergeCell ref="C5:J5"/>
    <mergeCell ref="C6:J6"/>
    <mergeCell ref="C8:J8"/>
    <mergeCell ref="C9:J9"/>
    <mergeCell ref="C28:J28"/>
    <mergeCell ref="C12:J12"/>
    <mergeCell ref="C21:J21"/>
    <mergeCell ref="C23:J23"/>
    <mergeCell ref="C24:J24"/>
    <mergeCell ref="C13:J13"/>
  </mergeCells>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EMSEngagementItemInfo xmlns="http://schemas.microsoft.com/DAEMSEngagementItemInfoXML">
  <EngagementID>5000079568</EngagementID>
  <LogicalEMSServerID>4616908268048594663</LogicalEMSServerID>
  <WorkingPaperID>3136755119800001127</WorkingPaperID>
</DAEMSEngagementItemInfo>
</file>

<file path=customXml/itemProps1.xml><?xml version="1.0" encoding="utf-8"?>
<ds:datastoreItem xmlns:ds="http://schemas.openxmlformats.org/officeDocument/2006/customXml" ds:itemID="{0F46F5A4-B9F8-4A8F-8880-4BC20CF47D85}">
  <ds:schemaRefs>
    <ds:schemaRef ds:uri="http://schemas.microsoft.com/DAEMSEngagementItemInfoXM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1</vt:i4>
      </vt:variant>
    </vt:vector>
  </HeadingPairs>
  <TitlesOfParts>
    <vt:vector size="10" baseType="lpstr">
      <vt:lpstr>총괄</vt:lpstr>
      <vt:lpstr>1. 중요성 기준</vt:lpstr>
      <vt:lpstr>2.1 유의한 계정과목(BS)</vt:lpstr>
      <vt:lpstr>2.2 유의한 계정과목(PL)</vt:lpstr>
      <vt:lpstr>2.3 유의한 주석</vt:lpstr>
      <vt:lpstr>2.4 유의한 현금흐름 관련항목 </vt:lpstr>
      <vt:lpstr>3. GITC Scoping_</vt:lpstr>
      <vt:lpstr>3.1 유의한 업무프로세스 정리</vt:lpstr>
      <vt:lpstr>Notes</vt:lpstr>
      <vt:lpstr>총괄!Print_Area</vt:lpstr>
    </vt:vector>
  </TitlesOfParts>
  <Company>Deloitte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우리회계법인</cp:lastModifiedBy>
  <dcterms:created xsi:type="dcterms:W3CDTF">2018-06-22T14:44:14Z</dcterms:created>
  <dcterms:modified xsi:type="dcterms:W3CDTF">2023-12-13T00:44:49Z</dcterms:modified>
</cp:coreProperties>
</file>