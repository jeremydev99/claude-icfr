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https://wooricpajbt-my.sharepoint.com/personal/sukchoi_wooricpajbt_onmicrosoft_com/Documents/계약서스케쥴공유/9. 업무별폴더/사이냅소프트/내부회계/산출물/"/>
    </mc:Choice>
  </mc:AlternateContent>
  <xr:revisionPtr revIDLastSave="46" documentId="13_ncr:1_{252FE2D5-A6BC-40C6-BA1D-FB04CB4BDAF4}" xr6:coauthVersionLast="47" xr6:coauthVersionMax="47" xr10:uidLastSave="{97FC1678-9B63-4BC5-AD8C-69A669916111}"/>
  <bookViews>
    <workbookView xWindow="-38490" yWindow="0" windowWidth="19380" windowHeight="21090" activeTab="1" xr2:uid="{00000000-000D-0000-FFFF-FFFF00000000}"/>
  </bookViews>
  <sheets>
    <sheet name="EUC Guide" sheetId="16" r:id="rId1"/>
    <sheet name="EUC Inventory" sheetId="1" r:id="rId2"/>
    <sheet name="식별된 EUC Control Test(예시)" sheetId="17" r:id="rId3"/>
  </sheets>
  <externalReferences>
    <externalReference r:id="rId4"/>
    <externalReference r:id="rId5"/>
  </externalReferences>
  <definedNames>
    <definedName name="_xlnm._FilterDatabase" localSheetId="1" hidden="1">'EUC Inventory'!$B$3:$S$3</definedName>
    <definedName name="AS2DocOpenMode">"AS2DocumentEdit"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1" l="1"/>
  <c r="F10" i="1"/>
  <c r="F9" i="1"/>
  <c r="F8" i="1"/>
  <c r="F7" i="1"/>
  <c r="F6" i="1"/>
  <c r="F5" i="1"/>
  <c r="F4" i="1"/>
  <c r="O5" i="1"/>
  <c r="O8" i="1"/>
  <c r="B8" i="1"/>
  <c r="O7" i="1"/>
  <c r="B7" i="1"/>
  <c r="B6" i="1"/>
  <c r="O4" i="1"/>
  <c r="O9" i="1"/>
  <c r="E5" i="17"/>
  <c r="D5" i="17"/>
  <c r="C5" i="17"/>
  <c r="H7" i="17"/>
  <c r="F7" i="17"/>
  <c r="E7" i="17"/>
  <c r="D7" i="17"/>
  <c r="C7" i="17"/>
  <c r="O11" i="1"/>
  <c r="O10" i="1"/>
  <c r="O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Kim, Ye-Ji (KR/ICE2)</author>
  </authors>
  <commentList>
    <comment ref="P3" authorId="0" shapeId="0" xr:uid="{45D6892D-D924-4ACA-804C-0477FAE12D53}">
      <text>
        <r>
          <rPr>
            <sz val="9"/>
            <color indexed="81"/>
            <rFont val="돋움"/>
            <family val="3"/>
            <charset val="129"/>
          </rPr>
          <t>엑셀파일의</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저장루트를</t>
        </r>
        <r>
          <rPr>
            <sz val="9"/>
            <color indexed="81"/>
            <rFont val="Tahoma"/>
            <family val="2"/>
          </rPr>
          <t xml:space="preserve"> </t>
        </r>
        <r>
          <rPr>
            <sz val="9"/>
            <color indexed="81"/>
            <rFont val="돋움"/>
            <family val="3"/>
            <charset val="129"/>
          </rPr>
          <t>기재하여</t>
        </r>
        <r>
          <rPr>
            <sz val="9"/>
            <color indexed="81"/>
            <rFont val="Tahoma"/>
            <family val="2"/>
          </rPr>
          <t xml:space="preserve"> </t>
        </r>
        <r>
          <rPr>
            <sz val="9"/>
            <color indexed="81"/>
            <rFont val="돋움"/>
            <family val="3"/>
            <charset val="129"/>
          </rPr>
          <t>주시면</t>
        </r>
        <r>
          <rPr>
            <sz val="9"/>
            <color indexed="81"/>
            <rFont val="Tahoma"/>
            <family val="2"/>
          </rPr>
          <t xml:space="preserve"> </t>
        </r>
        <r>
          <rPr>
            <sz val="9"/>
            <color indexed="81"/>
            <rFont val="돋움"/>
            <family val="3"/>
            <charset val="129"/>
          </rPr>
          <t>됩니다</t>
        </r>
        <r>
          <rPr>
            <sz val="9"/>
            <color indexed="81"/>
            <rFont val="Tahoma"/>
            <family val="2"/>
          </rPr>
          <t>.</t>
        </r>
      </text>
    </comment>
  </commentList>
</comments>
</file>

<file path=xl/sharedStrings.xml><?xml version="1.0" encoding="utf-8"?>
<sst xmlns="http://schemas.openxmlformats.org/spreadsheetml/2006/main" count="181" uniqueCount="121">
  <si>
    <t>위험</t>
    <phoneticPr fontId="1" type="noConversion"/>
  </si>
  <si>
    <t>EUC Guide</t>
    <phoneticPr fontId="10" type="noConversion"/>
  </si>
  <si>
    <t>EUC 정의</t>
    <phoneticPr fontId="10" type="noConversion"/>
  </si>
  <si>
    <r>
      <rPr>
        <b/>
        <u/>
        <sz val="10"/>
        <rFont val="맑은 고딕"/>
        <family val="3"/>
        <charset val="129"/>
        <scheme val="minor"/>
      </rPr>
      <t xml:space="preserve">EUC란?
</t>
    </r>
    <r>
      <rPr>
        <sz val="10"/>
        <rFont val="맑은 고딕"/>
        <family val="3"/>
        <charset val="129"/>
        <scheme val="minor"/>
      </rPr>
      <t xml:space="preserve">
IT시스템 외부에서 데이터를 수정하기 위하여 사용되는 응용프로그램을 말한다. 이러한 응용프로그램에는 spreadsheets, databases, ad hoc queries 및 기타 독립적인 응용프로그램이 있다.
EUC에는 IT시스템에서 데이터를 추출하여 가공하는 사용자가 자체 개발한 프로그램 또는 spreadsheet와 같은 기타 IT 응용프로그램이 있다. 반면, spreadsheet를 생성하여 직접 수작업으로 데이터를 입력할 수도 있다. 
IT 시스템에서 데이터를 추출하고, EUC에서 이를 가공한다. 이러한 IPE에 대하여 재무적 위험도와 복잡성에 따라 control을 수행 해야 한다</t>
    </r>
    <phoneticPr fontId="12" type="noConversion"/>
  </si>
  <si>
    <t>EUC control test 대상 Spreadsheet 예시</t>
    <phoneticPr fontId="10" type="noConversion"/>
  </si>
  <si>
    <t>1) 총계정 원장에 전기 된 중요한 재무 제표 계정 잔액을 계산하는 데 사용되는 계산 포함(i.e. reserves, valuations, provisions, etc.)
2) 재무 제표 마감 프로세스에서 모니터링 및 검토 프로세스 수행시 사용되는 spreadsheet(i.e., variance analysis, account reconciliation, trend analysis, etc.)
3) 재무 보고 및 공시에 사용되는 spreadsheet(i.e., cash flows, transfer pricing models, depreciation schedules)
4) 재무 IT 시스템 또는 데이터베이스에 DATA를 직접 업로드시 사용되는 spreadsheet</t>
    <phoneticPr fontId="12" type="noConversion"/>
  </si>
  <si>
    <t>EUC 관리 가이드 라인 (Non-Standard)</t>
    <phoneticPr fontId="12" type="noConversion"/>
  </si>
  <si>
    <t>IPE 중요 스프레드 시트(EUC)는, 아래의 통제로 적절하게 운영/관리되고 있는지 확인할 수 있다.</t>
    <phoneticPr fontId="12" type="noConversion"/>
  </si>
  <si>
    <t>백업 관리</t>
    <phoneticPr fontId="12" type="noConversion"/>
  </si>
  <si>
    <t>- EUC 대상 문서의 버전 및 백업관리를 통하여, 재무제표 작성에 중요한 EUC 문서의 유실을 방지하는데 사용된다.
- 버전 및 백업관리는 월/분기/반기 단위로 EUC 대상 문서의 통제활동 수행주기에 따라, 해당 문서의 백업 문서를 생성한다.
- 백업문서의 문서명에 작성 통제수행 날짜 "210130"를 기록하여 마지막 사용 날짜를 기록한다.</t>
    <phoneticPr fontId="12" type="noConversion"/>
  </si>
  <si>
    <t>접근 관리</t>
    <phoneticPr fontId="12" type="noConversion"/>
  </si>
  <si>
    <t>- EUC 대상 문서는 열람이 불가하도록 암호로 보호되거나, 접근이 제한되는 디렉토리에 저장한다.
- 권한이 전체 부서에 부여 된 경우,  스프레드 시트 소유자의 지식없이 실수로 변경되었는지  확인하기 위해 EUC 문서에 대한 권한을 그 파일을 이해하는 사용자에게만  제한되어야한다.
- EUC 대상 문서는 반드시, 사용 시에만 배포되어 사용되어야 한다.</t>
    <phoneticPr fontId="12" type="noConversion"/>
  </si>
  <si>
    <t>변경 관리</t>
    <phoneticPr fontId="12" type="noConversion"/>
  </si>
  <si>
    <t>- 변경 전에는 반드시 변경 EUC 대상 문서를 백업한다.
- EUC 대상 문서 내역 변경시에는, 변경 내역에 적정성에 대하여 전결권자의 승인을 득한 거래에 한하여 변경한다.
- 변경사항의 유형, 변경의 영향 및 독립적인 인원의 공식적인 완료에 대한 승인이 문서에 포함되어야 한다.
- 변경 후에는, 사전 승인을 득한 거래 내역과 일치하는 결과를 도출하는지 점검해야한다.</t>
    <phoneticPr fontId="12" type="noConversion"/>
  </si>
  <si>
    <t>모니터링 관리</t>
    <phoneticPr fontId="10" type="noConversion"/>
  </si>
  <si>
    <t>- EUC 대상 문서를 통하여 통제활동을 수행하는 경우, 배포전 EUC 대상 문서와, 통제활동에 수행된 EUC 대상문서의 일치 여부를 점검해야한다.
- 점검 결과, EUC 대상문서가 왜곡된 경우, 백업관리 및 변경 관리를 통하여 EUC 대상 문서의 정확성을 확보해야한다.</t>
    <phoneticPr fontId="10" type="noConversion"/>
  </si>
  <si>
    <t>통제활동 상세</t>
    <phoneticPr fontId="10" type="noConversion"/>
  </si>
  <si>
    <t>통제활동에 활용되는 정보
(Information Prepared by Entity ("IPE") in relation to Control Activity)</t>
    <phoneticPr fontId="10" type="noConversion"/>
  </si>
  <si>
    <t>EUC 파일명</t>
    <phoneticPr fontId="10" type="noConversion"/>
  </si>
  <si>
    <t>EUC 파일설명</t>
    <phoneticPr fontId="10" type="noConversion"/>
  </si>
  <si>
    <t>Macro 포함여부</t>
    <phoneticPr fontId="10" type="noConversion"/>
  </si>
  <si>
    <t>EUC Tool의 위험평가</t>
    <phoneticPr fontId="10" type="noConversion"/>
  </si>
  <si>
    <t>파일변경주기
(E/D/W/M/Q/S/A/건별)</t>
    <phoneticPr fontId="10" type="noConversion"/>
  </si>
  <si>
    <t>별도 관리여부
(EUC Controls)</t>
    <phoneticPr fontId="10" type="noConversion"/>
  </si>
  <si>
    <t>EUC 파일 저장소(저장루트)</t>
    <phoneticPr fontId="10" type="noConversion"/>
  </si>
  <si>
    <t>EUC 파일관리부서</t>
    <phoneticPr fontId="10" type="noConversion"/>
  </si>
  <si>
    <t>EUC 파일관리자</t>
    <phoneticPr fontId="10" type="noConversion"/>
  </si>
  <si>
    <t xml:space="preserve">Spread Sheet inventory </t>
    <phoneticPr fontId="10" type="noConversion"/>
  </si>
  <si>
    <t>Note: EUC 대상 문서별 통제활동 구축 수준 예시</t>
    <phoneticPr fontId="10" type="noConversion"/>
  </si>
  <si>
    <t>문서이름</t>
    <phoneticPr fontId="10" type="noConversion"/>
  </si>
  <si>
    <t>관련 시스템</t>
    <phoneticPr fontId="10" type="noConversion"/>
  </si>
  <si>
    <t>통제 주기</t>
    <phoneticPr fontId="10" type="noConversion"/>
  </si>
  <si>
    <t>통제활동</t>
    <phoneticPr fontId="10" type="noConversion"/>
  </si>
  <si>
    <t>조서 번호 ref
(증빙)</t>
    <phoneticPr fontId="10" type="noConversion"/>
  </si>
  <si>
    <t>통제활동 수행 확인</t>
    <phoneticPr fontId="10" type="noConversion"/>
  </si>
  <si>
    <r>
      <rPr>
        <b/>
        <sz val="10"/>
        <color theme="1"/>
        <rFont val="돋움"/>
        <family val="3"/>
        <charset val="129"/>
      </rPr>
      <t>통제활동</t>
    </r>
    <r>
      <rPr>
        <b/>
        <sz val="10"/>
        <color theme="1"/>
        <rFont val="Arial"/>
        <family val="2"/>
      </rPr>
      <t xml:space="preserve"> </t>
    </r>
    <r>
      <rPr>
        <b/>
        <sz val="10"/>
        <color theme="1"/>
        <rFont val="돋움"/>
        <family val="3"/>
        <charset val="129"/>
      </rPr>
      <t>상세</t>
    </r>
    <r>
      <rPr>
        <b/>
        <sz val="10"/>
        <color theme="1"/>
        <rFont val="Arial"/>
        <family val="2"/>
      </rPr>
      <t xml:space="preserve"> </t>
    </r>
    <phoneticPr fontId="10" type="noConversion"/>
  </si>
  <si>
    <t>담당자</t>
    <phoneticPr fontId="10" type="noConversion"/>
  </si>
  <si>
    <t>검토자</t>
    <phoneticPr fontId="10" type="noConversion"/>
  </si>
  <si>
    <t>Excel</t>
  </si>
  <si>
    <t>백업 관리</t>
  </si>
  <si>
    <t>EUC 대상문서는 "EUC 문서 관리" 폴더에서 매월 단위로 백업문서를 생성한다.</t>
    <phoneticPr fontId="10" type="noConversion"/>
  </si>
  <si>
    <t>접근 관리</t>
  </si>
  <si>
    <t>- EUC 대상 문서는 열람이 불가하도록 암호로 보호되거나, 접근이 제한되는 디렉토리에 저장한다.
- 권한이 전체 부서에 부여 된 경우,  스프레드 시트 소유자의 지식없이 실수로 변경되었는지  확인하기 위해 EUC 문서에 대한 권한을 그 파일을 이해하는 사용자에게만  제한되어야한다.
- EUC 대상 문서는 반드시, 사용 시에만 배포되어 사용되어야 한다.</t>
  </si>
  <si>
    <t>공유 폴더 내 "EUC 문서관리" 폴더에 대상 문서를 저장하고 있으며, 동 폴더는 회계팀 OOO 담당자만 접근이 가능한다.</t>
    <phoneticPr fontId="10" type="noConversion"/>
  </si>
  <si>
    <t>변경 관리</t>
  </si>
  <si>
    <t>- 변경 전에는 반드시 변경 EUC 대상 문서를 백업한다.
- EUC 대상 문서 내역 변경시에는, 변경 내역에 적정성에 대하여 전결권자의 승인을 득한 거래에 한하여 변경한다.
- 변경사항의 유형, 변경의 영향 및 독립적인 인원의 공식적인 완료에 대한 승인이 문서에 포함되어야 한다.
- 변경 후에는, 사전 승인을 득한 거래 내역과 일치하는 결과를 도출하는지 점검해야한다.</t>
  </si>
  <si>
    <t>EUC 대상 문서는 2010년 외부회계법인을 통한 용역 이후, 중요한 회계 추정 판단 등의 임계치, 주요 함수 등이 수정된 내역이 없다.</t>
    <phoneticPr fontId="10" type="noConversion"/>
  </si>
  <si>
    <t>모니터링 관리</t>
  </si>
  <si>
    <t>- EUC 대상 문서를 통하여 통제활동을 수행하는 경우, 배포전 EUC 대상 문서와, 통제활동에 수행된 EUC 대상문서의 일치 여부를 점검해야한다.
- 점검 결과, EUC 대상문서가 왜곡된 경우, 백업관리 및 변경 관리를 통하여 EUC 대상 문서의 정확성을 확보해야한다.</t>
  </si>
  <si>
    <t>매월 통제활동이 수행 전/후로 사용된 EUC 대상 문서의 비교 검토 결과, 동일한 문서에 기반하여 통제활동을 수행함을 확인하였다.</t>
    <phoneticPr fontId="10" type="noConversion"/>
  </si>
  <si>
    <t>사용자 test가 적절하지 않거나 누락되어 EUC 파일(또는 spreadsheet)에 유효하지 않은 변경이 발생할 위험</t>
  </si>
  <si>
    <t>EUC 대상 문서의 버전 및 백업이 적절하지 않거나 누락되어 현재 유효하지 않은 파일을 이용하여 회사의 재무제표에 적절하지 않은 금액이 반영될 위험</t>
    <phoneticPr fontId="1" type="noConversion"/>
  </si>
  <si>
    <t>접근권한이 없는 자가 EUC에 접근하여 ERP로 관련 전표를 기표할 위험</t>
  </si>
  <si>
    <t>배포된 EUC 대상 문서와 통제활동에 수행된 EUC 대상 문서가 상이하여 금액이 잘못될 위험</t>
    <phoneticPr fontId="1" type="noConversion"/>
  </si>
  <si>
    <t>Y</t>
  </si>
  <si>
    <t>No</t>
  </si>
  <si>
    <t>Low</t>
  </si>
  <si>
    <t xml:space="preserve">보유하고 있는 금융상품에 대하여 발생주의에 따라 인식할 이자수익(미수수익)을 계산한 파일 </t>
    <phoneticPr fontId="1" type="noConversion"/>
  </si>
  <si>
    <t>Annually</t>
  </si>
  <si>
    <t>고정자산</t>
  </si>
  <si>
    <t xml:space="preserve">리스 인식 여부 및 최초 사용권자산 및 리스부채, 이후 상각스케줄을 계산한 파일 </t>
    <phoneticPr fontId="1" type="noConversion"/>
  </si>
  <si>
    <t>법인세법 및 관련 법규와 세무조정 그리고 이연법인세 자산의 실현가능성을 검토하여 법인세 계산의 적정성, 이연법인세자산(부채)의 적정성을 확인하는 파일</t>
    <phoneticPr fontId="1" type="noConversion"/>
  </si>
  <si>
    <r>
      <t>- EUC 대상 문서의 버전 및 백업관리를 통하여, 재무제표 작성에 중요한 EUC 문서의 유실을 방지하는데 사용된다.
- 버전 및 백업관리는 월/분기/반기 단위로 EUC 대상 문서의 통제활동 수행주기에 따라, 해당 문서의 백업 문서를 생성한다.
- 백업문서의 문서명에 작성 통제수행 날짜 "</t>
    </r>
    <r>
      <rPr>
        <i/>
        <sz val="10"/>
        <rFont val="맑은 고딕"/>
        <family val="3"/>
        <charset val="129"/>
        <scheme val="major"/>
      </rPr>
      <t>XX.XX.XX</t>
    </r>
    <r>
      <rPr>
        <sz val="10"/>
        <rFont val="맑은 고딕"/>
        <family val="3"/>
        <charset val="129"/>
        <scheme val="major"/>
      </rPr>
      <t>"를 기록하여 마지막 사용 날짜를 기록한다.</t>
    </r>
    <phoneticPr fontId="1" type="noConversion"/>
  </si>
  <si>
    <t>위험평가근거</t>
    <phoneticPr fontId="1" type="noConversion"/>
  </si>
  <si>
    <t>이자수익(미수수익)을 계산함에 있어 중요한 것은 데이터에 대한 완전성이 전부라고 판단되며, 그러한 검토는 별도의 파일관리가 필요하다고 생각되지 않음. 그에 따라 EUC 통제 식별이 불필요하다고 판단됨.</t>
    <phoneticPr fontId="1" type="noConversion"/>
  </si>
  <si>
    <t>리스는 최초 인식 시점에 상각스케쥴을 산출한 뒤 상위권자의 검토를 받게 되면 추후 오류의 발생가능성이 낮음. 따라서 추가적인 EUC 통제 식별이 필요하다고 판단되지 않음.</t>
    <phoneticPr fontId="1" type="noConversion"/>
  </si>
  <si>
    <t>프로세스이름</t>
    <phoneticPr fontId="10" type="noConversion"/>
  </si>
  <si>
    <t>하위프로세스</t>
    <phoneticPr fontId="10" type="noConversion"/>
  </si>
  <si>
    <t>통제활동번호</t>
    <phoneticPr fontId="10" type="noConversion"/>
  </si>
  <si>
    <t>통제활동이름</t>
    <phoneticPr fontId="10" type="noConversion"/>
  </si>
  <si>
    <t>법인세 계산은 수식이 복잡하고, 재무제표에 미치는 영향이 중요하지만, 해당 통제를 MRC로 식별하여 금액의 적정성 테스트를 수행하고 있음. 그에 따라 해당 파일에 추가적으로 EUC 통제를 식별하여 관리할 필요성은 없다고 판단됨.</t>
    <phoneticPr fontId="1" type="noConversion"/>
  </si>
  <si>
    <t>KEY 
통제 여부</t>
    <phoneticPr fontId="10" type="noConversion"/>
  </si>
  <si>
    <t>EUC Inventory</t>
    <phoneticPr fontId="12" type="noConversion"/>
  </si>
  <si>
    <t>No</t>
    <phoneticPr fontId="10" type="noConversion"/>
  </si>
  <si>
    <t>급여및인사관리</t>
    <phoneticPr fontId="1" type="noConversion"/>
  </si>
  <si>
    <t>연차충당부채 계산의 검토</t>
  </si>
  <si>
    <t>임직원의 연차 및 급여정보를 기준으로 연차충당부채를 계산하는 파일</t>
    <phoneticPr fontId="1" type="noConversion"/>
  </si>
  <si>
    <t>연차충당부채를 계산함에 있어 중요한 것은 데이터에 대한 완전성이 전부라고 판단되며, 그러한 검토는 별도의 파일관리가 필요하다고 생각되지 않음. 그에 따라 EUC 통제 식별이 불필요하다고 판단됨.</t>
    <phoneticPr fontId="1" type="noConversion"/>
  </si>
  <si>
    <t>추후 사이냅소프트 작성</t>
    <phoneticPr fontId="1" type="noConversion"/>
  </si>
  <si>
    <t>경영지원팀</t>
    <phoneticPr fontId="1" type="noConversion"/>
  </si>
  <si>
    <t>경영지원팀 담당자</t>
    <phoneticPr fontId="1" type="noConversion"/>
  </si>
  <si>
    <t>FA-050-10-10</t>
  </si>
  <si>
    <t>매출관리</t>
    <phoneticPr fontId="1" type="noConversion"/>
  </si>
  <si>
    <t>매출기록 및 청구</t>
  </si>
  <si>
    <t>소프트웨어 매출 중 유지보수 수행의무에 해당하는 매출에 대하여 기간별로 인식하여야 하는 매출액을 게산한 파일</t>
    <phoneticPr fontId="1" type="noConversion"/>
  </si>
  <si>
    <t>유지보수매출은 최초 인식 시점에 매출 인식 스케쥴을 산출한 뒤 상위권자의 검토를 받게 되면 추후 오류의 발생가능성이 낮음. 따라서 추가적인 EUC 통제 식별이 필요하다고 판단되지 않음.</t>
    <phoneticPr fontId="1" type="noConversion"/>
  </si>
  <si>
    <t>재무결산과보고</t>
    <phoneticPr fontId="1" type="noConversion"/>
  </si>
  <si>
    <t>보유하고 있는 금융상품에 대해서 금융상품의 공정가치 정보에 근거하여 장부금액과의 차액을 계산한 파일</t>
    <phoneticPr fontId="1" type="noConversion"/>
  </si>
  <si>
    <t>금융상품평가에 있어 중요한 것은 데이터에 대한 완전성이 전부라고 판단되며, 그러한 검토는 별도의 파일관리가 필요하다고 생각되지 않음. 그에 따라 EUC 통제 식별이 불필요하다고 판단됨.</t>
    <phoneticPr fontId="1" type="noConversion"/>
  </si>
  <si>
    <t xml:space="preserve">보유하고 있는 차입금에 대하여 발생주의에 따라 인식할 이자비용(미지급이자)을 계산한 파일 </t>
    <phoneticPr fontId="1" type="noConversion"/>
  </si>
  <si>
    <t>이자비용(미지급이자)을 계산함에 있어 중요한 것은 데이터에 대한 완전성이 전부라고 판단되며, 그러한 검토는 별도의 파일관리가 필요하다고 생각되지 않음. 그에 따라 EUC 통제 식별이 불필요하다고 판단됨.</t>
    <phoneticPr fontId="1" type="noConversion"/>
  </si>
  <si>
    <t>채권 명세서, 연령분석표 정보를 기준으로 대손충당금을 계산하는 파일</t>
    <phoneticPr fontId="1" type="noConversion"/>
  </si>
  <si>
    <t xml:space="preserve">대손충당금은 채권별 연령분석에 따라 대손충당금을 산출한 뒤 상위권자의 검토를 받게 되면 추후 오류의 발생가능성이 낮음. 따라서 추가적인 EUC 통제 식별이 필요하다고 판단되지 않음.
</t>
    <phoneticPr fontId="1" type="noConversion"/>
  </si>
  <si>
    <t>SD-020-20-30</t>
  </si>
  <si>
    <t>채권관리 및 대손상각</t>
  </si>
  <si>
    <t>SD-030-40-10</t>
  </si>
  <si>
    <t>투자자산관리</t>
  </si>
  <si>
    <t>TR-020-20-10</t>
  </si>
  <si>
    <t>TR-020-30-10</t>
  </si>
  <si>
    <t>차입금 관리</t>
  </si>
  <si>
    <t>TR-030-20-10</t>
  </si>
  <si>
    <t>HR-020-10-20</t>
  </si>
  <si>
    <t>리스관리</t>
  </si>
  <si>
    <t>법인세비용관리</t>
  </si>
  <si>
    <t>유지보수매출 조정</t>
  </si>
  <si>
    <t>대손충당금의 설정</t>
  </si>
  <si>
    <t>이자수익 회계처리의 검토 및 승인</t>
  </si>
  <si>
    <t>금융상품 평가 회계처리의 검토 및 승인</t>
  </si>
  <si>
    <t>이자비용 회계처리의 검토 및 승인</t>
  </si>
  <si>
    <t>리스에 대한 검토 및 승인</t>
  </si>
  <si>
    <t>세무조정시 상위자의 검토</t>
  </si>
  <si>
    <t>유지보수매출 계산파일</t>
  </si>
  <si>
    <t>대손충당금계산파일</t>
  </si>
  <si>
    <t>미수수익계산파일</t>
  </si>
  <si>
    <t>금융상품평가파일</t>
  </si>
  <si>
    <t>미지급이자계산파일</t>
  </si>
  <si>
    <t>연차충당부채계산파일</t>
  </si>
  <si>
    <t>리스템플릿(엑셀파일)</t>
  </si>
  <si>
    <t>이연법인세 검토 MRC</t>
  </si>
  <si>
    <t>FR-050-10-20</t>
  </si>
  <si>
    <t>급여 계산 및 지급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</si>
</sst>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맑은 고딕"/>
      <family val="2"/>
      <charset val="129"/>
      <scheme val="minor"/>
    </font>
    <font>
      <sz val="8"/>
      <name val="맑은 고딕"/>
      <family val="2"/>
      <charset val="129"/>
      <scheme val="minor"/>
    </font>
    <font>
      <sz val="9"/>
      <color theme="1"/>
      <name val="맑은 고딕"/>
      <family val="3"/>
      <charset val="129"/>
      <scheme val="minor"/>
    </font>
    <font>
      <sz val="9"/>
      <color theme="1"/>
      <name val="맑은 고딕"/>
      <family val="2"/>
      <charset val="129"/>
      <scheme val="minor"/>
    </font>
    <font>
      <sz val="9"/>
      <color theme="1"/>
      <name val="맑은 고딕"/>
      <family val="3"/>
      <charset val="129"/>
      <scheme val="major"/>
    </font>
    <font>
      <sz val="10"/>
      <name val="맑은 고딕"/>
      <family val="3"/>
      <charset val="129"/>
      <scheme val="minor"/>
    </font>
    <font>
      <sz val="10"/>
      <color rgb="FFFF0000"/>
      <name val="맑은 고딕"/>
      <family val="3"/>
      <charset val="129"/>
      <scheme val="minor"/>
    </font>
    <font>
      <sz val="11"/>
      <color rgb="FF000000"/>
      <name val="Calibri"/>
      <family val="2"/>
    </font>
    <font>
      <sz val="10"/>
      <color rgb="FF000000"/>
      <name val="맑은 고딕"/>
      <family val="3"/>
      <charset val="129"/>
      <scheme val="minor"/>
    </font>
    <font>
      <b/>
      <sz val="12"/>
      <color theme="0"/>
      <name val="맑은 고딕"/>
      <family val="3"/>
      <charset val="129"/>
      <scheme val="minor"/>
    </font>
    <font>
      <sz val="8"/>
      <name val="맑은 고딕"/>
      <family val="2"/>
      <charset val="129"/>
    </font>
    <font>
      <b/>
      <u/>
      <sz val="10"/>
      <name val="맑은 고딕"/>
      <family val="3"/>
      <charset val="129"/>
      <scheme val="minor"/>
    </font>
    <font>
      <sz val="8"/>
      <name val="돋움"/>
      <family val="3"/>
      <charset val="129"/>
    </font>
    <font>
      <b/>
      <sz val="14"/>
      <color theme="0"/>
      <name val="맑은 고딕"/>
      <family val="3"/>
      <charset val="129"/>
      <scheme val="minor"/>
    </font>
    <font>
      <b/>
      <sz val="10"/>
      <color theme="0"/>
      <name val="맑은 고딕"/>
      <family val="3"/>
      <charset val="129"/>
      <scheme val="minor"/>
    </font>
    <font>
      <b/>
      <sz val="10"/>
      <color rgb="FF000000"/>
      <name val="맑은 고딕"/>
      <family val="3"/>
      <charset val="129"/>
      <scheme val="minor"/>
    </font>
    <font>
      <b/>
      <sz val="11"/>
      <name val="맑은 고딕"/>
      <family val="3"/>
      <charset val="129"/>
      <scheme val="minor"/>
    </font>
    <font>
      <b/>
      <sz val="10"/>
      <color theme="0"/>
      <name val="맑은 고딕"/>
      <family val="3"/>
      <charset val="129"/>
    </font>
    <font>
      <sz val="11"/>
      <color theme="1"/>
      <name val="맑은 고딕"/>
      <family val="2"/>
      <scheme val="minor"/>
    </font>
    <font>
      <b/>
      <sz val="18"/>
      <color theme="0"/>
      <name val="맑은 고딕"/>
      <family val="3"/>
      <charset val="129"/>
      <scheme val="minor"/>
    </font>
    <font>
      <b/>
      <sz val="10"/>
      <color theme="0"/>
      <name val="맑은 고딕"/>
      <family val="2"/>
      <charset val="129"/>
    </font>
    <font>
      <b/>
      <sz val="11"/>
      <color theme="0"/>
      <name val="맑은 고딕"/>
      <family val="3"/>
      <charset val="129"/>
      <scheme val="minor"/>
    </font>
    <font>
      <b/>
      <sz val="10"/>
      <color theme="1"/>
      <name val="돋움"/>
      <family val="3"/>
      <charset val="129"/>
    </font>
    <font>
      <b/>
      <sz val="10"/>
      <color theme="1"/>
      <name val="Arial"/>
      <family val="2"/>
    </font>
    <font>
      <b/>
      <sz val="10"/>
      <name val="Arial"/>
      <family val="2"/>
    </font>
    <font>
      <sz val="10"/>
      <color rgb="FFFF0000"/>
      <name val="Arial"/>
      <family val="2"/>
    </font>
    <font>
      <sz val="10"/>
      <name val="맑은 고딕"/>
      <family val="3"/>
      <charset val="129"/>
      <scheme val="major"/>
    </font>
    <font>
      <i/>
      <sz val="10"/>
      <color theme="1"/>
      <name val="맑은 고딕"/>
      <family val="3"/>
      <charset val="129"/>
      <scheme val="major"/>
    </font>
    <font>
      <i/>
      <sz val="9"/>
      <color theme="1"/>
      <name val="맑은 고딕"/>
      <family val="3"/>
      <charset val="129"/>
      <scheme val="minor"/>
    </font>
    <font>
      <i/>
      <sz val="10"/>
      <name val="맑은 고딕"/>
      <family val="3"/>
      <charset val="129"/>
      <scheme val="major"/>
    </font>
    <font>
      <sz val="9"/>
      <color indexed="81"/>
      <name val="Tahoma"/>
      <family val="2"/>
    </font>
    <font>
      <sz val="9"/>
      <color indexed="81"/>
      <name val="돋움"/>
      <family val="3"/>
      <charset val="129"/>
    </font>
    <font>
      <b/>
      <i/>
      <sz val="10"/>
      <color rgb="FF000000"/>
      <name val="맑은 고딕"/>
      <family val="3"/>
      <charset val="129"/>
    </font>
  </fonts>
  <fills count="9">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D9D9D9"/>
        <bgColor indexed="64"/>
      </patternFill>
    </fill>
    <fill>
      <patternFill patternType="solid">
        <fgColor theme="6" tint="0.59999389629810485"/>
        <bgColor indexed="64"/>
      </patternFill>
    </fill>
    <fill>
      <patternFill patternType="solid">
        <fgColor theme="4"/>
        <bgColor indexed="64"/>
      </patternFill>
    </fill>
    <fill>
      <patternFill patternType="solid">
        <fgColor theme="0" tint="-0.499984740745262"/>
        <bgColor indexed="64"/>
      </patternFill>
    </fill>
  </fills>
  <borders count="4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auto="1"/>
      </left>
      <right style="medium">
        <color indexed="64"/>
      </right>
      <top style="medium">
        <color indexed="64"/>
      </top>
      <bottom style="thin">
        <color auto="1"/>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indexed="64"/>
      </right>
      <top/>
      <bottom/>
      <diagonal/>
    </border>
    <border>
      <left style="thin">
        <color indexed="64"/>
      </left>
      <right style="thin">
        <color indexed="64"/>
      </right>
      <top/>
      <bottom/>
      <diagonal/>
    </border>
    <border>
      <left style="thin">
        <color auto="1"/>
      </left>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3">
    <xf numFmtId="0" fontId="0" fillId="0" borderId="0">
      <alignment vertical="center"/>
    </xf>
    <xf numFmtId="0" fontId="7" fillId="0" borderId="0"/>
    <xf numFmtId="0" fontId="18" fillId="0" borderId="0"/>
  </cellStyleXfs>
  <cellXfs count="92">
    <xf numFmtId="0" fontId="0" fillId="0" borderId="0" xfId="0">
      <alignment vertical="center"/>
    </xf>
    <xf numFmtId="0" fontId="3" fillId="2" borderId="0" xfId="0" applyFont="1" applyFill="1">
      <alignment vertical="center"/>
    </xf>
    <xf numFmtId="0" fontId="8" fillId="0" borderId="0" xfId="1" applyFont="1" applyAlignment="1">
      <alignment wrapText="1"/>
    </xf>
    <xf numFmtId="0" fontId="8" fillId="0" borderId="4" xfId="1" applyFont="1" applyBorder="1" applyAlignment="1">
      <alignment wrapText="1"/>
    </xf>
    <xf numFmtId="0" fontId="6" fillId="0" borderId="5" xfId="1" applyFont="1" applyBorder="1" applyAlignment="1">
      <alignment horizontal="left" vertical="top" wrapText="1"/>
    </xf>
    <xf numFmtId="0" fontId="8" fillId="0" borderId="6" xfId="1" applyFont="1" applyBorder="1" applyAlignment="1">
      <alignment wrapText="1"/>
    </xf>
    <xf numFmtId="0" fontId="8" fillId="0" borderId="7" xfId="1" applyFont="1" applyBorder="1" applyAlignment="1">
      <alignment wrapText="1"/>
    </xf>
    <xf numFmtId="0" fontId="8" fillId="0" borderId="11" xfId="1" applyFont="1" applyBorder="1" applyAlignment="1">
      <alignment wrapText="1"/>
    </xf>
    <xf numFmtId="0" fontId="15" fillId="4" borderId="12" xfId="1" applyFont="1" applyFill="1" applyBorder="1" applyAlignment="1">
      <alignment horizontal="center" vertical="center" wrapText="1"/>
    </xf>
    <xf numFmtId="0" fontId="16" fillId="4" borderId="2" xfId="1" applyFont="1" applyFill="1" applyBorder="1" applyAlignment="1">
      <alignment horizontal="center" vertical="center" wrapText="1"/>
    </xf>
    <xf numFmtId="0" fontId="8" fillId="0" borderId="22" xfId="1" applyFont="1" applyBorder="1" applyAlignment="1">
      <alignment wrapText="1"/>
    </xf>
    <xf numFmtId="0" fontId="8" fillId="0" borderId="23" xfId="1" applyFont="1" applyBorder="1" applyAlignment="1">
      <alignment wrapText="1"/>
    </xf>
    <xf numFmtId="0" fontId="8" fillId="0" borderId="24" xfId="1" applyFont="1" applyBorder="1" applyAlignment="1">
      <alignment wrapText="1"/>
    </xf>
    <xf numFmtId="0" fontId="18" fillId="0" borderId="0" xfId="2"/>
    <xf numFmtId="0" fontId="18" fillId="0" borderId="0" xfId="2" applyAlignment="1">
      <alignment horizontal="left" wrapText="1"/>
    </xf>
    <xf numFmtId="0" fontId="18" fillId="0" borderId="4" xfId="2" applyBorder="1"/>
    <xf numFmtId="0" fontId="18" fillId="0" borderId="5" xfId="2" applyBorder="1"/>
    <xf numFmtId="0" fontId="0" fillId="0" borderId="6" xfId="0" applyBorder="1">
      <alignment vertical="center"/>
    </xf>
    <xf numFmtId="0" fontId="18" fillId="0" borderId="7" xfId="2" applyBorder="1"/>
    <xf numFmtId="0" fontId="18" fillId="0" borderId="11" xfId="2" applyBorder="1"/>
    <xf numFmtId="0" fontId="22" fillId="5" borderId="32" xfId="2" applyFont="1" applyFill="1" applyBorder="1" applyAlignment="1">
      <alignment horizontal="center" vertical="top" wrapText="1"/>
    </xf>
    <xf numFmtId="0" fontId="23" fillId="5" borderId="33" xfId="2" applyFont="1" applyFill="1" applyBorder="1" applyAlignment="1">
      <alignment horizontal="center" vertical="top" wrapText="1"/>
    </xf>
    <xf numFmtId="0" fontId="22" fillId="5" borderId="34" xfId="2" applyFont="1" applyFill="1" applyBorder="1" applyAlignment="1">
      <alignment horizontal="center" vertical="center" wrapText="1"/>
    </xf>
    <xf numFmtId="0" fontId="22" fillId="5" borderId="35" xfId="2" applyFont="1" applyFill="1" applyBorder="1" applyAlignment="1">
      <alignment horizontal="center" vertical="center" wrapText="1"/>
    </xf>
    <xf numFmtId="0" fontId="24" fillId="6" borderId="9" xfId="2" applyFont="1" applyFill="1" applyBorder="1" applyAlignment="1">
      <alignment horizontal="left" vertical="top" wrapText="1"/>
    </xf>
    <xf numFmtId="0" fontId="25" fillId="0" borderId="2" xfId="2" applyFont="1" applyBorder="1" applyAlignment="1">
      <alignment vertical="top" wrapText="1"/>
    </xf>
    <xf numFmtId="0" fontId="25" fillId="0" borderId="13" xfId="2" applyFont="1" applyBorder="1" applyAlignment="1">
      <alignment vertical="top" wrapText="1"/>
    </xf>
    <xf numFmtId="0" fontId="24" fillId="6" borderId="2" xfId="2" applyFont="1" applyFill="1" applyBorder="1" applyAlignment="1">
      <alignment horizontal="left" vertical="top" wrapText="1"/>
    </xf>
    <xf numFmtId="0" fontId="25" fillId="0" borderId="39" xfId="2" applyFont="1" applyBorder="1" applyAlignment="1">
      <alignment vertical="top" wrapText="1"/>
    </xf>
    <xf numFmtId="0" fontId="25" fillId="0" borderId="40" xfId="2" applyFont="1" applyBorder="1" applyAlignment="1">
      <alignment vertical="top" wrapText="1"/>
    </xf>
    <xf numFmtId="0" fontId="18" fillId="0" borderId="22" xfId="2" applyBorder="1"/>
    <xf numFmtId="0" fontId="18" fillId="0" borderId="23" xfId="2" applyBorder="1"/>
    <xf numFmtId="0" fontId="18" fillId="0" borderId="23" xfId="2" applyBorder="1" applyAlignment="1">
      <alignment horizontal="left" wrapText="1"/>
    </xf>
    <xf numFmtId="0" fontId="18" fillId="0" borderId="24" xfId="2" applyBorder="1"/>
    <xf numFmtId="0" fontId="22" fillId="5" borderId="33" xfId="2" applyFont="1" applyFill="1" applyBorder="1" applyAlignment="1">
      <alignment horizontal="center" vertical="top" wrapText="1"/>
    </xf>
    <xf numFmtId="0" fontId="26" fillId="0" borderId="27" xfId="2" quotePrefix="1" applyFont="1" applyBorder="1" applyAlignment="1">
      <alignment horizontal="left" vertical="top" wrapText="1"/>
    </xf>
    <xf numFmtId="0" fontId="27" fillId="0" borderId="2" xfId="2" applyFont="1" applyBorder="1" applyAlignment="1">
      <alignment horizontal="left" vertical="top" wrapText="1"/>
    </xf>
    <xf numFmtId="0" fontId="26" fillId="0" borderId="19" xfId="2" quotePrefix="1" applyFont="1" applyBorder="1" applyAlignment="1">
      <alignment horizontal="left" vertical="top" wrapText="1"/>
    </xf>
    <xf numFmtId="0" fontId="2" fillId="0" borderId="1" xfId="0" applyFont="1" applyBorder="1" applyAlignment="1">
      <alignment vertical="top" wrapText="1"/>
    </xf>
    <xf numFmtId="0" fontId="28" fillId="0" borderId="1" xfId="0" applyFont="1" applyBorder="1" applyAlignment="1">
      <alignment vertical="top" wrapText="1"/>
    </xf>
    <xf numFmtId="0" fontId="24" fillId="6" borderId="39" xfId="2" applyFont="1" applyFill="1" applyBorder="1" applyAlignment="1">
      <alignment horizontal="left" vertical="top" wrapText="1"/>
    </xf>
    <xf numFmtId="0" fontId="26" fillId="0" borderId="38" xfId="2" quotePrefix="1" applyFont="1" applyBorder="1" applyAlignment="1">
      <alignment horizontal="left" vertical="top" wrapText="1"/>
    </xf>
    <xf numFmtId="0" fontId="27" fillId="0" borderId="39" xfId="2" applyFont="1" applyBorder="1" applyAlignment="1">
      <alignment horizontal="left" vertical="top" wrapText="1"/>
    </xf>
    <xf numFmtId="0" fontId="2" fillId="0" borderId="1" xfId="0" applyFont="1" applyBorder="1" applyAlignment="1">
      <alignment horizontal="center" vertical="center" wrapText="1"/>
    </xf>
    <xf numFmtId="0" fontId="3" fillId="0" borderId="0" xfId="0" applyFont="1">
      <alignment vertical="center"/>
    </xf>
    <xf numFmtId="0" fontId="4" fillId="2" borderId="0" xfId="0" applyFont="1" applyFill="1" applyAlignment="1">
      <alignment vertical="center" wrapText="1"/>
    </xf>
    <xf numFmtId="0" fontId="17" fillId="7" borderId="41" xfId="0" applyFont="1" applyFill="1" applyBorder="1" applyAlignment="1" applyProtection="1">
      <alignment horizontal="center" vertical="center" wrapText="1"/>
      <protection locked="0"/>
    </xf>
    <xf numFmtId="0" fontId="17" fillId="7" borderId="42" xfId="0" applyFont="1" applyFill="1" applyBorder="1" applyAlignment="1" applyProtection="1">
      <alignment horizontal="center" vertical="center" wrapText="1"/>
      <protection locked="0"/>
    </xf>
    <xf numFmtId="0" fontId="17" fillId="7" borderId="43" xfId="0" applyFont="1" applyFill="1" applyBorder="1" applyAlignment="1" applyProtection="1">
      <alignment horizontal="center" vertical="center" wrapText="1"/>
      <protection locked="0"/>
    </xf>
    <xf numFmtId="0" fontId="32" fillId="0" borderId="0" xfId="0" applyFont="1">
      <alignment vertical="center"/>
    </xf>
    <xf numFmtId="0" fontId="14" fillId="7" borderId="17" xfId="1" applyFont="1" applyFill="1" applyBorder="1" applyAlignment="1">
      <alignment horizontal="left" vertical="center" wrapText="1"/>
    </xf>
    <xf numFmtId="0" fontId="14" fillId="7" borderId="3" xfId="1" applyFont="1" applyFill="1" applyBorder="1" applyAlignment="1">
      <alignment horizontal="left" vertical="center" wrapText="1"/>
    </xf>
    <xf numFmtId="0" fontId="14" fillId="7" borderId="18" xfId="1" applyFont="1" applyFill="1" applyBorder="1" applyAlignment="1">
      <alignment horizontal="left" vertical="center" wrapText="1"/>
    </xf>
    <xf numFmtId="0" fontId="8" fillId="0" borderId="19" xfId="1" quotePrefix="1" applyFont="1" applyBorder="1" applyAlignment="1">
      <alignment horizontal="left" vertical="center" wrapText="1"/>
    </xf>
    <xf numFmtId="0" fontId="8" fillId="0" borderId="20" xfId="1" quotePrefix="1" applyFont="1" applyBorder="1" applyAlignment="1">
      <alignment horizontal="left" vertical="center" wrapText="1"/>
    </xf>
    <xf numFmtId="0" fontId="8" fillId="0" borderId="21" xfId="1" quotePrefix="1" applyFont="1" applyBorder="1" applyAlignment="1">
      <alignment horizontal="left" vertical="center" wrapText="1"/>
    </xf>
    <xf numFmtId="0" fontId="13" fillId="3" borderId="14" xfId="1" applyFont="1" applyFill="1" applyBorder="1" applyAlignment="1">
      <alignment horizontal="center" vertical="center" wrapText="1"/>
    </xf>
    <xf numFmtId="0" fontId="13" fillId="3" borderId="15" xfId="1" applyFont="1" applyFill="1" applyBorder="1" applyAlignment="1">
      <alignment horizontal="center" vertical="center" wrapText="1"/>
    </xf>
    <xf numFmtId="0" fontId="13" fillId="3" borderId="16" xfId="1" applyFont="1" applyFill="1" applyBorder="1" applyAlignment="1">
      <alignment horizontal="center" vertical="center" wrapText="1"/>
    </xf>
    <xf numFmtId="0" fontId="9" fillId="3" borderId="8" xfId="1" applyFont="1" applyFill="1" applyBorder="1" applyAlignment="1">
      <alignment horizontal="left" vertical="top" wrapText="1"/>
    </xf>
    <xf numFmtId="0" fontId="9" fillId="3" borderId="9" xfId="1" applyFont="1" applyFill="1" applyBorder="1" applyAlignment="1">
      <alignment horizontal="left" vertical="top" wrapText="1"/>
    </xf>
    <xf numFmtId="0" fontId="9" fillId="3" borderId="10" xfId="1" applyFont="1" applyFill="1" applyBorder="1" applyAlignment="1">
      <alignment horizontal="left" vertical="top" wrapText="1"/>
    </xf>
    <xf numFmtId="0" fontId="9" fillId="7" borderId="12" xfId="1" applyFont="1" applyFill="1" applyBorder="1" applyAlignment="1">
      <alignment horizontal="left" vertical="top" wrapText="1"/>
    </xf>
    <xf numFmtId="0" fontId="9" fillId="7" borderId="2" xfId="1" applyFont="1" applyFill="1" applyBorder="1" applyAlignment="1">
      <alignment horizontal="left" vertical="top" wrapText="1"/>
    </xf>
    <xf numFmtId="0" fontId="9" fillId="7" borderId="13" xfId="1" applyFont="1" applyFill="1" applyBorder="1" applyAlignment="1">
      <alignment horizontal="left" vertical="top" wrapText="1"/>
    </xf>
    <xf numFmtId="0" fontId="5" fillId="0" borderId="12" xfId="1" applyFont="1" applyBorder="1" applyAlignment="1">
      <alignment horizontal="left" vertical="center" wrapText="1"/>
    </xf>
    <xf numFmtId="0" fontId="5" fillId="0" borderId="2" xfId="1" applyFont="1" applyBorder="1" applyAlignment="1">
      <alignment horizontal="left" vertical="center" wrapText="1"/>
    </xf>
    <xf numFmtId="0" fontId="5" fillId="0" borderId="13" xfId="1" applyFont="1" applyBorder="1" applyAlignment="1">
      <alignment horizontal="left" vertical="center" wrapText="1"/>
    </xf>
    <xf numFmtId="0" fontId="18" fillId="0" borderId="26" xfId="2" applyBorder="1" applyAlignment="1">
      <alignment horizontal="center" vertical="top" wrapText="1"/>
    </xf>
    <xf numFmtId="0" fontId="18" fillId="0" borderId="37" xfId="2" applyBorder="1" applyAlignment="1">
      <alignment horizontal="center" vertical="top" wrapText="1"/>
    </xf>
    <xf numFmtId="0" fontId="18" fillId="0" borderId="31" xfId="2" applyBorder="1" applyAlignment="1">
      <alignment horizontal="center" vertical="top" wrapText="1"/>
    </xf>
    <xf numFmtId="0" fontId="18" fillId="0" borderId="25" xfId="2" applyBorder="1" applyAlignment="1">
      <alignment horizontal="left" vertical="top" wrapText="1"/>
    </xf>
    <xf numFmtId="0" fontId="18" fillId="0" borderId="36" xfId="2" applyBorder="1" applyAlignment="1">
      <alignment horizontal="left" vertical="top" wrapText="1"/>
    </xf>
    <xf numFmtId="0" fontId="18" fillId="0" borderId="30" xfId="2" applyBorder="1" applyAlignment="1">
      <alignment horizontal="left" vertical="top" wrapText="1"/>
    </xf>
    <xf numFmtId="0" fontId="18" fillId="0" borderId="26" xfId="2" applyBorder="1" applyAlignment="1">
      <alignment horizontal="left" vertical="top" wrapText="1"/>
    </xf>
    <xf numFmtId="0" fontId="18" fillId="0" borderId="37" xfId="2" applyBorder="1" applyAlignment="1">
      <alignment horizontal="left" vertical="top" wrapText="1"/>
    </xf>
    <xf numFmtId="0" fontId="18" fillId="0" borderId="31" xfId="2" applyBorder="1" applyAlignment="1">
      <alignment horizontal="left" vertical="top" wrapText="1"/>
    </xf>
    <xf numFmtId="0" fontId="19" fillId="3" borderId="4" xfId="2" applyFont="1" applyFill="1" applyBorder="1" applyAlignment="1">
      <alignment horizontal="left" vertical="center"/>
    </xf>
    <xf numFmtId="0" fontId="19" fillId="3" borderId="5" xfId="2" applyFont="1" applyFill="1" applyBorder="1" applyAlignment="1">
      <alignment horizontal="left" vertical="center"/>
    </xf>
    <xf numFmtId="0" fontId="19" fillId="3" borderId="6" xfId="2" applyFont="1" applyFill="1" applyBorder="1" applyAlignment="1">
      <alignment horizontal="left" vertical="center"/>
    </xf>
    <xf numFmtId="0" fontId="13" fillId="7" borderId="22" xfId="2" applyFont="1" applyFill="1" applyBorder="1" applyAlignment="1">
      <alignment horizontal="left" vertical="center"/>
    </xf>
    <xf numFmtId="0" fontId="13" fillId="7" borderId="23" xfId="2" applyFont="1" applyFill="1" applyBorder="1" applyAlignment="1">
      <alignment horizontal="left" vertical="center"/>
    </xf>
    <xf numFmtId="0" fontId="13" fillId="7" borderId="24" xfId="2" applyFont="1" applyFill="1" applyBorder="1" applyAlignment="1">
      <alignment horizontal="left" vertical="center"/>
    </xf>
    <xf numFmtId="0" fontId="20" fillId="8" borderId="25" xfId="0" applyFont="1" applyFill="1" applyBorder="1" applyAlignment="1">
      <alignment horizontal="center" vertical="center"/>
    </xf>
    <xf numFmtId="0" fontId="20" fillId="8" borderId="30" xfId="0" applyFont="1" applyFill="1" applyBorder="1" applyAlignment="1">
      <alignment horizontal="center" vertical="center"/>
    </xf>
    <xf numFmtId="0" fontId="20" fillId="8" borderId="26" xfId="0" applyFont="1" applyFill="1" applyBorder="1" applyAlignment="1">
      <alignment horizontal="center" vertical="center"/>
    </xf>
    <xf numFmtId="0" fontId="20" fillId="8" borderId="31" xfId="0" applyFont="1" applyFill="1" applyBorder="1" applyAlignment="1">
      <alignment horizontal="center" vertical="center"/>
    </xf>
    <xf numFmtId="0" fontId="20" fillId="7" borderId="27" xfId="0" applyFont="1" applyFill="1" applyBorder="1" applyAlignment="1">
      <alignment horizontal="center" vertical="center" wrapText="1"/>
    </xf>
    <xf numFmtId="0" fontId="20" fillId="7" borderId="28" xfId="0" applyFont="1" applyFill="1" applyBorder="1" applyAlignment="1">
      <alignment horizontal="center" vertical="center" wrapText="1"/>
    </xf>
    <xf numFmtId="0" fontId="21" fillId="7" borderId="9" xfId="2" applyFont="1" applyFill="1" applyBorder="1" applyAlignment="1">
      <alignment horizontal="center" vertical="center" wrapText="1"/>
    </xf>
    <xf numFmtId="0" fontId="21" fillId="7" borderId="2" xfId="2" applyFont="1" applyFill="1" applyBorder="1" applyAlignment="1">
      <alignment horizontal="center" vertical="center"/>
    </xf>
    <xf numFmtId="0" fontId="20" fillId="7" borderId="29" xfId="0" applyFont="1" applyFill="1" applyBorder="1" applyAlignment="1">
      <alignment horizontal="center" vertical="center" wrapText="1"/>
    </xf>
  </cellXfs>
  <cellStyles count="3">
    <cellStyle name="표준" xfId="0" builtinId="0"/>
    <cellStyle name="표준 6" xfId="2" xr:uid="{D9AD9DBE-0CB4-43A1-A368-9F27D543AAA4}"/>
    <cellStyle name="표준 7" xfId="1" xr:uid="{556158C2-0B17-40C7-9725-3AC5FD20F156}"/>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oricpajbt-my.sharepoint.com/personal/sukchoi_wooricpajbt_onmicrosoft_com/Documents/&#44228;&#50557;&#49436;&#49828;&#52992;&#51572;&#44277;&#50976;/9.%20&#50629;&#47924;&#48324;&#54260;&#45908;/&#49324;&#51060;&#45253;&#49548;&#54532;&#53944;/&#45236;&#48512;&#54924;&#44228;/&#49328;&#52636;&#47932;/3.%20RCM%20summary.xlsx" TargetMode="External"/><Relationship Id="rId1" Type="http://schemas.openxmlformats.org/officeDocument/2006/relationships/externalLinkPath" Target="3.%20RCM%20summar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akul\OneDrive%20-%20&#50864;&#47532;&#54924;&#44228;&#48277;&#51064;\&#44060;&#51064;&#50629;&#47924;&#54260;&#45908;\&#50629;&#52404;&#48324;&#50629;&#47924;\&#49324;&#51060;&#45253;&#49548;&#54532;&#53944;\&#45236;&#48512;&#54924;&#44228;\3.%20RCM%20summary_&#44553;&#50668;&#51088;&#44552;.xlsx" TargetMode="External"/><Relationship Id="rId1" Type="http://schemas.openxmlformats.org/officeDocument/2006/relationships/externalLinkPath" Target="file:///C:\Users\dakul\OneDrive%20-%20&#50864;&#47532;&#54924;&#44228;&#48277;&#51064;\&#44060;&#51064;&#50629;&#47924;&#54260;&#45908;\&#50629;&#52404;&#48324;&#50629;&#47924;\&#49324;&#51060;&#45253;&#49548;&#54532;&#53944;\&#45236;&#48512;&#54924;&#44228;\3.%20RCM%20summary_&#44553;&#50668;&#51088;&#4455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3 평가대상 사업단위"/>
      <sheetName val="(as-is)RCM"/>
      <sheetName val="재무제표_별도"/>
      <sheetName val="CF"/>
      <sheetName val="Overview"/>
      <sheetName val="RCM 취합"/>
      <sheetName val="중점고려사항 매핑표"/>
      <sheetName val="경영자주장"/>
      <sheetName val="Sample Size"/>
      <sheetName val="계정과목및주석(Fr scopoing)"/>
    </sheetNames>
    <sheetDataSet>
      <sheetData sheetId="0"/>
      <sheetData sheetId="1"/>
      <sheetData sheetId="2"/>
      <sheetData sheetId="3"/>
      <sheetData sheetId="4"/>
      <sheetData sheetId="5">
        <row r="49">
          <cell r="Q49" t="str">
            <v>유지보수 매출 관련 조정분개는 정확하게 계산되어야 하고, 정확성을 확보할 수 있도록 적절한 검토가 이루어져야 한다.</v>
          </cell>
        </row>
        <row r="53">
          <cell r="Q53" t="str">
            <v>대손충당금은 정확하게 계산되어야 하고, 정확성을 확보할 수 있도록 적절한 검토가 이루어져야 한다.</v>
          </cell>
        </row>
        <row r="68">
          <cell r="Q68" t="str">
            <v>전결권자는 금융상품 매입금액, 이자율, 만기일, 평가 등의 내역을 확인후 이자수익 전표를 승인한다.</v>
          </cell>
        </row>
        <row r="69">
          <cell r="Q69" t="str">
            <v xml:space="preserve">전결권자는 금융상품 관련 평가내역의 적절성을 검토한 후 금융상품 평가관련 전표를 승인한다. </v>
          </cell>
        </row>
        <row r="72">
          <cell r="Q72" t="str">
            <v>전결권자는 차입계약서 및 차입금 발행금액, 이자율, 만기일, 평가 등의 내역을 확인후 이자비용 전표를 승인한다.</v>
          </cell>
        </row>
        <row r="76">
          <cell r="Q76" t="str">
            <v>전결권자는 담당자가 작성한 연차충당부채 회계전표와 첨부된 산정내역 대해 검토 후 승인한다.</v>
          </cell>
        </row>
        <row r="99">
          <cell r="Q99" t="str">
            <v>전결권자는 리스 관련 조정분개(사용권자산, 리스부채, 이자비용, 유동성대체 등)가 정확하게 계산되었는지 검토하고 리스조정 전표를 승인한다.</v>
          </cell>
        </row>
        <row r="120">
          <cell r="Q120" t="str">
            <v>세무조정결과의 계산근거와 업무분장된 분석자료는 권한있는 상위자에 의하여 문서검사, 분석, 승인되어야 한다.</v>
          </cell>
        </row>
      </sheetData>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3 평가대상 사업단위"/>
      <sheetName val="(as-is)RCM"/>
      <sheetName val="재무제표_별도"/>
      <sheetName val="CF"/>
      <sheetName val="Overview"/>
      <sheetName val="RCM 급여"/>
      <sheetName val="RCM 자금"/>
      <sheetName val="중점고려사항 매핑표"/>
      <sheetName val="경영자주장"/>
      <sheetName val="Sample Size"/>
      <sheetName val="계정과목및주석(Fr scopoing)"/>
    </sheetNames>
    <sheetDataSet>
      <sheetData sheetId="0"/>
      <sheetData sheetId="1"/>
      <sheetData sheetId="2"/>
      <sheetData sheetId="3"/>
      <sheetData sheetId="4"/>
      <sheetData sheetId="5"/>
      <sheetData sheetId="6">
        <row r="20">
          <cell r="C20" t="str">
            <v>자금관리</v>
          </cell>
        </row>
      </sheetData>
      <sheetData sheetId="7"/>
      <sheetData sheetId="8"/>
      <sheetData sheetId="9"/>
      <sheetData sheetId="10"/>
    </sheetDataSet>
  </externalBook>
</externalLink>
</file>

<file path=xl/theme/theme1.xml><?xml version="1.0" encoding="utf-8"?>
<a:theme xmlns:a="http://schemas.openxmlformats.org/drawingml/2006/main" name="우리회계법인엑셀테마">
  <a:themeElements>
    <a:clrScheme name="우리회계법인1">
      <a:dk1>
        <a:sysClr val="windowText" lastClr="000000"/>
      </a:dk1>
      <a:lt1>
        <a:sysClr val="window" lastClr="FFFFFF"/>
      </a:lt1>
      <a:dk2>
        <a:srgbClr val="632E62"/>
      </a:dk2>
      <a:lt2>
        <a:srgbClr val="EAE5EB"/>
      </a:lt2>
      <a:accent1>
        <a:srgbClr val="481A18"/>
      </a:accent1>
      <a:accent2>
        <a:srgbClr val="632523"/>
      </a:accent2>
      <a:accent3>
        <a:srgbClr val="953735"/>
      </a:accent3>
      <a:accent4>
        <a:srgbClr val="C0504D"/>
      </a:accent4>
      <a:accent5>
        <a:srgbClr val="BFBFBF"/>
      </a:accent5>
      <a:accent6>
        <a:srgbClr val="5982DB"/>
      </a:accent6>
      <a:hlink>
        <a:srgbClr val="0066FF"/>
      </a:hlink>
      <a:folHlink>
        <a:srgbClr val="00B05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4F272-7803-4F08-B412-1B0AC7B26B73}">
  <dimension ref="B1:I16"/>
  <sheetViews>
    <sheetView showGridLines="0" zoomScale="85" zoomScaleNormal="85" workbookViewId="0">
      <selection activeCell="G16" sqref="G16"/>
    </sheetView>
  </sheetViews>
  <sheetFormatPr defaultColWidth="11" defaultRowHeight="16" x14ac:dyDescent="0.45"/>
  <cols>
    <col min="1" max="1" width="2.1640625" style="2" customWidth="1"/>
    <col min="2" max="2" width="2.83203125" style="2" customWidth="1"/>
    <col min="3" max="3" width="21.33203125" style="2" customWidth="1"/>
    <col min="4" max="4" width="35.6640625" style="2" customWidth="1"/>
    <col min="5" max="5" width="30.33203125" style="2" customWidth="1"/>
    <col min="6" max="6" width="32.58203125" style="2" customWidth="1"/>
    <col min="7" max="7" width="31.58203125" style="2" customWidth="1"/>
    <col min="8" max="8" width="32.5" style="2" customWidth="1"/>
    <col min="9" max="9" width="2.83203125" style="2" customWidth="1"/>
    <col min="10" max="10" width="30.83203125" style="2" customWidth="1"/>
    <col min="11" max="11" width="9.08203125" style="2" customWidth="1"/>
    <col min="12" max="12" width="30.83203125" style="2" customWidth="1"/>
    <col min="13" max="13" width="10.08203125" style="2" customWidth="1"/>
    <col min="14" max="14" width="30.83203125" style="2" customWidth="1"/>
    <col min="15" max="15" width="7.1640625" style="2" customWidth="1"/>
    <col min="16" max="16" width="30.83203125" style="2" customWidth="1"/>
    <col min="17" max="17" width="27.5" style="2" customWidth="1"/>
    <col min="18" max="19" width="21.1640625" style="2" customWidth="1"/>
    <col min="20" max="27" width="6.58203125" style="2" customWidth="1"/>
    <col min="28" max="16384" width="11" style="2"/>
  </cols>
  <sheetData>
    <row r="1" spans="2:9" ht="16.5" thickBot="1" x14ac:dyDescent="0.5"/>
    <row r="2" spans="2:9" ht="16.5" thickBot="1" x14ac:dyDescent="0.5">
      <c r="B2" s="3"/>
      <c r="C2" s="4"/>
      <c r="D2" s="4"/>
      <c r="E2" s="4"/>
      <c r="F2" s="4"/>
      <c r="G2" s="4"/>
      <c r="H2" s="4"/>
      <c r="I2" s="5"/>
    </row>
    <row r="3" spans="2:9" ht="17.5" x14ac:dyDescent="0.45">
      <c r="B3" s="6"/>
      <c r="C3" s="59" t="s">
        <v>1</v>
      </c>
      <c r="D3" s="60"/>
      <c r="E3" s="60"/>
      <c r="F3" s="60"/>
      <c r="G3" s="60"/>
      <c r="H3" s="61"/>
      <c r="I3" s="7"/>
    </row>
    <row r="4" spans="2:9" ht="17.5" x14ac:dyDescent="0.45">
      <c r="B4" s="6"/>
      <c r="C4" s="62" t="s">
        <v>2</v>
      </c>
      <c r="D4" s="63"/>
      <c r="E4" s="63"/>
      <c r="F4" s="63"/>
      <c r="G4" s="63"/>
      <c r="H4" s="64"/>
      <c r="I4" s="7"/>
    </row>
    <row r="5" spans="2:9" ht="86.4" customHeight="1" x14ac:dyDescent="0.45">
      <c r="B5" s="6"/>
      <c r="C5" s="65" t="s">
        <v>3</v>
      </c>
      <c r="D5" s="66"/>
      <c r="E5" s="66"/>
      <c r="F5" s="66"/>
      <c r="G5" s="66"/>
      <c r="H5" s="67"/>
      <c r="I5" s="7"/>
    </row>
    <row r="6" spans="2:9" ht="17.5" x14ac:dyDescent="0.45">
      <c r="B6" s="6"/>
      <c r="C6" s="62" t="s">
        <v>4</v>
      </c>
      <c r="D6" s="63"/>
      <c r="E6" s="63"/>
      <c r="F6" s="63"/>
      <c r="G6" s="63"/>
      <c r="H6" s="64"/>
      <c r="I6" s="7"/>
    </row>
    <row r="7" spans="2:9" ht="68.25" customHeight="1" x14ac:dyDescent="0.45">
      <c r="B7" s="6"/>
      <c r="C7" s="65" t="s">
        <v>5</v>
      </c>
      <c r="D7" s="66"/>
      <c r="E7" s="66"/>
      <c r="F7" s="66"/>
      <c r="G7" s="66"/>
      <c r="H7" s="67"/>
      <c r="I7" s="7"/>
    </row>
    <row r="8" spans="2:9" x14ac:dyDescent="0.45">
      <c r="B8" s="6"/>
      <c r="I8" s="7"/>
    </row>
    <row r="9" spans="2:9" ht="16.5" thickBot="1" x14ac:dyDescent="0.5">
      <c r="B9" s="6"/>
      <c r="I9" s="7"/>
    </row>
    <row r="10" spans="2:9" ht="21.5" thickBot="1" x14ac:dyDescent="0.5">
      <c r="B10" s="6"/>
      <c r="C10" s="56" t="s">
        <v>6</v>
      </c>
      <c r="D10" s="57"/>
      <c r="E10" s="57"/>
      <c r="F10" s="57"/>
      <c r="G10" s="57"/>
      <c r="H10" s="58"/>
      <c r="I10" s="7"/>
    </row>
    <row r="11" spans="2:9" ht="17.25" customHeight="1" x14ac:dyDescent="0.45">
      <c r="B11" s="6"/>
      <c r="C11" s="50" t="s">
        <v>7</v>
      </c>
      <c r="D11" s="51"/>
      <c r="E11" s="51"/>
      <c r="F11" s="51"/>
      <c r="G11" s="51"/>
      <c r="H11" s="52"/>
      <c r="I11" s="7"/>
    </row>
    <row r="12" spans="2:9" ht="90" customHeight="1" x14ac:dyDescent="0.45">
      <c r="B12" s="6"/>
      <c r="C12" s="8">
        <v>1</v>
      </c>
      <c r="D12" s="9" t="s">
        <v>8</v>
      </c>
      <c r="E12" s="53" t="s">
        <v>9</v>
      </c>
      <c r="F12" s="54"/>
      <c r="G12" s="54"/>
      <c r="H12" s="55"/>
      <c r="I12" s="7"/>
    </row>
    <row r="13" spans="2:9" ht="90" customHeight="1" x14ac:dyDescent="0.45">
      <c r="B13" s="6"/>
      <c r="C13" s="8">
        <v>2</v>
      </c>
      <c r="D13" s="9" t="s">
        <v>10</v>
      </c>
      <c r="E13" s="53" t="s">
        <v>11</v>
      </c>
      <c r="F13" s="54"/>
      <c r="G13" s="54"/>
      <c r="H13" s="55"/>
      <c r="I13" s="7"/>
    </row>
    <row r="14" spans="2:9" ht="90" customHeight="1" x14ac:dyDescent="0.45">
      <c r="B14" s="6"/>
      <c r="C14" s="8">
        <v>3</v>
      </c>
      <c r="D14" s="9" t="s">
        <v>12</v>
      </c>
      <c r="E14" s="53" t="s">
        <v>13</v>
      </c>
      <c r="F14" s="54"/>
      <c r="G14" s="54"/>
      <c r="H14" s="55"/>
      <c r="I14" s="7"/>
    </row>
    <row r="15" spans="2:9" ht="90" customHeight="1" x14ac:dyDescent="0.45">
      <c r="B15" s="6"/>
      <c r="C15" s="8">
        <v>4</v>
      </c>
      <c r="D15" s="9" t="s">
        <v>14</v>
      </c>
      <c r="E15" s="53" t="s">
        <v>15</v>
      </c>
      <c r="F15" s="54"/>
      <c r="G15" s="54"/>
      <c r="H15" s="55"/>
      <c r="I15" s="7"/>
    </row>
    <row r="16" spans="2:9" ht="16.5" thickBot="1" x14ac:dyDescent="0.5">
      <c r="B16" s="10"/>
      <c r="C16" s="11"/>
      <c r="D16" s="11"/>
      <c r="E16" s="11"/>
      <c r="F16" s="11"/>
      <c r="G16" s="11"/>
      <c r="H16" s="11"/>
      <c r="I16" s="12"/>
    </row>
  </sheetData>
  <mergeCells count="11">
    <mergeCell ref="C10:H10"/>
    <mergeCell ref="C3:H3"/>
    <mergeCell ref="C4:H4"/>
    <mergeCell ref="C5:H5"/>
    <mergeCell ref="C6:H6"/>
    <mergeCell ref="C7:H7"/>
    <mergeCell ref="C11:H11"/>
    <mergeCell ref="E12:H12"/>
    <mergeCell ref="E13:H13"/>
    <mergeCell ref="E14:H14"/>
    <mergeCell ref="E15:H1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showGridLines="0" tabSelected="1" zoomScale="85" zoomScaleNormal="85" workbookViewId="0">
      <pane ySplit="3" topLeftCell="A4" activePane="bottomLeft" state="frozen"/>
      <selection pane="bottomLeft" activeCell="D8" sqref="D8"/>
    </sheetView>
  </sheetViews>
  <sheetFormatPr defaultColWidth="8.6640625" defaultRowHeight="14.5" x14ac:dyDescent="0.45"/>
  <cols>
    <col min="1" max="1" width="5.9140625" style="1" customWidth="1"/>
    <col min="2" max="3" width="17.4140625" style="1" customWidth="1"/>
    <col min="4" max="4" width="13.1640625" style="1" customWidth="1"/>
    <col min="5" max="5" width="14.58203125" style="1" bestFit="1" customWidth="1"/>
    <col min="6" max="6" width="44.5" style="1" customWidth="1"/>
    <col min="7" max="7" width="9.58203125" style="1" customWidth="1"/>
    <col min="8" max="8" width="31.5" style="1" customWidth="1"/>
    <col min="9" max="9" width="17.83203125" style="1" customWidth="1"/>
    <col min="10" max="10" width="37.6640625" style="1" customWidth="1"/>
    <col min="11" max="12" width="12.83203125" style="1" customWidth="1"/>
    <col min="13" max="13" width="36.6640625" style="1" customWidth="1"/>
    <col min="14" max="14" width="12.1640625" style="1" bestFit="1" customWidth="1"/>
    <col min="15" max="15" width="11" style="1" bestFit="1" customWidth="1"/>
    <col min="16" max="18" width="24.4140625" style="1" customWidth="1"/>
    <col min="19" max="19" width="11.6640625" style="1" bestFit="1" customWidth="1"/>
    <col min="20" max="16384" width="8.6640625" style="1"/>
  </cols>
  <sheetData>
    <row r="1" spans="1:18" ht="16" x14ac:dyDescent="0.45">
      <c r="A1" s="49" t="s">
        <v>72</v>
      </c>
      <c r="B1" s="49"/>
    </row>
    <row r="3" spans="1:18" s="45" customFormat="1" ht="64" x14ac:dyDescent="0.45">
      <c r="A3" s="46" t="s">
        <v>73</v>
      </c>
      <c r="B3" s="47" t="s">
        <v>66</v>
      </c>
      <c r="C3" s="47" t="s">
        <v>67</v>
      </c>
      <c r="D3" s="47" t="s">
        <v>68</v>
      </c>
      <c r="E3" s="47" t="s">
        <v>69</v>
      </c>
      <c r="F3" s="47" t="s">
        <v>16</v>
      </c>
      <c r="G3" s="47" t="s">
        <v>71</v>
      </c>
      <c r="H3" s="47" t="s">
        <v>17</v>
      </c>
      <c r="I3" s="47" t="s">
        <v>18</v>
      </c>
      <c r="J3" s="47" t="s">
        <v>19</v>
      </c>
      <c r="K3" s="47" t="s">
        <v>20</v>
      </c>
      <c r="L3" s="47" t="s">
        <v>21</v>
      </c>
      <c r="M3" s="47" t="s">
        <v>63</v>
      </c>
      <c r="N3" s="47" t="s">
        <v>22</v>
      </c>
      <c r="O3" s="47" t="s">
        <v>23</v>
      </c>
      <c r="P3" s="47" t="s">
        <v>24</v>
      </c>
      <c r="Q3" s="47" t="s">
        <v>25</v>
      </c>
      <c r="R3" s="48" t="s">
        <v>26</v>
      </c>
    </row>
    <row r="4" spans="1:18" ht="58" x14ac:dyDescent="0.45">
      <c r="A4" s="38">
        <v>1</v>
      </c>
      <c r="B4" s="38" t="s">
        <v>82</v>
      </c>
      <c r="C4" s="38" t="s">
        <v>83</v>
      </c>
      <c r="D4" s="38" t="s">
        <v>93</v>
      </c>
      <c r="E4" s="38" t="s">
        <v>104</v>
      </c>
      <c r="F4" s="38" t="str">
        <f>'[1]RCM 취합'!$Q$49</f>
        <v>유지보수 매출 관련 조정분개는 정확하게 계산되어야 하고, 정확성을 확보할 수 있도록 적절한 검토가 이루어져야 한다.</v>
      </c>
      <c r="G4" s="43" t="s">
        <v>54</v>
      </c>
      <c r="H4" s="38" t="s">
        <v>111</v>
      </c>
      <c r="I4" s="38" t="s">
        <v>111</v>
      </c>
      <c r="J4" s="38" t="s">
        <v>84</v>
      </c>
      <c r="K4" s="38" t="s">
        <v>55</v>
      </c>
      <c r="L4" s="38" t="s">
        <v>56</v>
      </c>
      <c r="M4" s="38" t="s">
        <v>85</v>
      </c>
      <c r="N4" s="38" t="s">
        <v>58</v>
      </c>
      <c r="O4" s="38" t="str">
        <f t="shared" ref="O4" si="0">IF(OR(L4="moderate",L4="high"),"통제식별","")</f>
        <v/>
      </c>
      <c r="P4" s="39" t="s">
        <v>78</v>
      </c>
      <c r="Q4" s="38" t="s">
        <v>79</v>
      </c>
      <c r="R4" s="38" t="s">
        <v>80</v>
      </c>
    </row>
    <row r="5" spans="1:18" ht="72.5" x14ac:dyDescent="0.45">
      <c r="A5" s="38">
        <v>2</v>
      </c>
      <c r="B5" s="38" t="s">
        <v>82</v>
      </c>
      <c r="C5" s="38" t="s">
        <v>94</v>
      </c>
      <c r="D5" s="38" t="s">
        <v>95</v>
      </c>
      <c r="E5" s="38" t="s">
        <v>105</v>
      </c>
      <c r="F5" s="38" t="str">
        <f>'[1]RCM 취합'!$Q$53</f>
        <v>대손충당금은 정확하게 계산되어야 하고, 정확성을 확보할 수 있도록 적절한 검토가 이루어져야 한다.</v>
      </c>
      <c r="G5" s="43" t="s">
        <v>54</v>
      </c>
      <c r="H5" s="38" t="s">
        <v>112</v>
      </c>
      <c r="I5" s="38" t="s">
        <v>112</v>
      </c>
      <c r="J5" s="38" t="s">
        <v>91</v>
      </c>
      <c r="K5" s="38" t="s">
        <v>55</v>
      </c>
      <c r="L5" s="38" t="s">
        <v>56</v>
      </c>
      <c r="M5" s="38" t="s">
        <v>92</v>
      </c>
      <c r="N5" s="38" t="s">
        <v>58</v>
      </c>
      <c r="O5" s="38" t="str">
        <f t="shared" ref="O5" si="1">IF(OR(L5="moderate",L5="high"),"통제식별","")</f>
        <v/>
      </c>
      <c r="P5" s="39" t="s">
        <v>78</v>
      </c>
      <c r="Q5" s="38" t="s">
        <v>79</v>
      </c>
      <c r="R5" s="38" t="s">
        <v>80</v>
      </c>
    </row>
    <row r="6" spans="1:18" ht="58" x14ac:dyDescent="0.45">
      <c r="A6" s="38">
        <v>3</v>
      </c>
      <c r="B6" s="38" t="str">
        <f>'[2]RCM 자금'!$C$20</f>
        <v>자금관리</v>
      </c>
      <c r="C6" s="38" t="s">
        <v>96</v>
      </c>
      <c r="D6" s="38" t="s">
        <v>97</v>
      </c>
      <c r="E6" s="38" t="s">
        <v>106</v>
      </c>
      <c r="F6" s="38" t="str">
        <f>'[1]RCM 취합'!$Q$68</f>
        <v>전결권자는 금융상품 매입금액, 이자율, 만기일, 평가 등의 내역을 확인후 이자수익 전표를 승인한다.</v>
      </c>
      <c r="G6" s="43" t="s">
        <v>54</v>
      </c>
      <c r="H6" s="38" t="s">
        <v>113</v>
      </c>
      <c r="I6" s="38" t="s">
        <v>113</v>
      </c>
      <c r="J6" s="38" t="s">
        <v>57</v>
      </c>
      <c r="K6" s="38" t="s">
        <v>55</v>
      </c>
      <c r="L6" s="38" t="s">
        <v>56</v>
      </c>
      <c r="M6" s="38" t="s">
        <v>64</v>
      </c>
      <c r="N6" s="38" t="s">
        <v>58</v>
      </c>
      <c r="O6" s="38" t="str">
        <f>IF(OR(L6="moderate",L6="high"),"통제식별","")</f>
        <v/>
      </c>
      <c r="P6" s="39" t="s">
        <v>78</v>
      </c>
      <c r="Q6" s="38" t="s">
        <v>79</v>
      </c>
      <c r="R6" s="38" t="s">
        <v>80</v>
      </c>
    </row>
    <row r="7" spans="1:18" ht="58" x14ac:dyDescent="0.45">
      <c r="A7" s="38">
        <v>4</v>
      </c>
      <c r="B7" s="38" t="str">
        <f>'[2]RCM 자금'!$C$20</f>
        <v>자금관리</v>
      </c>
      <c r="C7" s="38" t="s">
        <v>96</v>
      </c>
      <c r="D7" s="38" t="s">
        <v>98</v>
      </c>
      <c r="E7" s="38" t="s">
        <v>107</v>
      </c>
      <c r="F7" s="38" t="str">
        <f>'[1]RCM 취합'!$Q$69</f>
        <v xml:space="preserve">전결권자는 금융상품 관련 평가내역의 적절성을 검토한 후 금융상품 평가관련 전표를 승인한다. </v>
      </c>
      <c r="G7" s="43" t="s">
        <v>54</v>
      </c>
      <c r="H7" s="38" t="s">
        <v>114</v>
      </c>
      <c r="I7" s="38" t="s">
        <v>114</v>
      </c>
      <c r="J7" s="38" t="s">
        <v>87</v>
      </c>
      <c r="K7" s="38" t="s">
        <v>55</v>
      </c>
      <c r="L7" s="38" t="s">
        <v>56</v>
      </c>
      <c r="M7" s="38" t="s">
        <v>88</v>
      </c>
      <c r="N7" s="38" t="s">
        <v>58</v>
      </c>
      <c r="O7" s="38" t="str">
        <f>IF(OR(L7="moderate",L7="high"),"통제식별","")</f>
        <v/>
      </c>
      <c r="P7" s="39" t="s">
        <v>78</v>
      </c>
      <c r="Q7" s="38" t="s">
        <v>79</v>
      </c>
      <c r="R7" s="38" t="s">
        <v>80</v>
      </c>
    </row>
    <row r="8" spans="1:18" ht="58" x14ac:dyDescent="0.45">
      <c r="A8" s="38">
        <v>5</v>
      </c>
      <c r="B8" s="38" t="str">
        <f>'[2]RCM 자금'!$C$20</f>
        <v>자금관리</v>
      </c>
      <c r="C8" s="38" t="s">
        <v>99</v>
      </c>
      <c r="D8" s="38" t="s">
        <v>100</v>
      </c>
      <c r="E8" s="38" t="s">
        <v>108</v>
      </c>
      <c r="F8" s="38" t="str">
        <f>'[1]RCM 취합'!$Q$72</f>
        <v>전결권자는 차입계약서 및 차입금 발행금액, 이자율, 만기일, 평가 등의 내역을 확인후 이자비용 전표를 승인한다.</v>
      </c>
      <c r="G8" s="43" t="s">
        <v>54</v>
      </c>
      <c r="H8" s="38" t="s">
        <v>115</v>
      </c>
      <c r="I8" s="38" t="s">
        <v>115</v>
      </c>
      <c r="J8" s="38" t="s">
        <v>89</v>
      </c>
      <c r="K8" s="38" t="s">
        <v>55</v>
      </c>
      <c r="L8" s="38" t="s">
        <v>56</v>
      </c>
      <c r="M8" s="38" t="s">
        <v>90</v>
      </c>
      <c r="N8" s="38" t="s">
        <v>58</v>
      </c>
      <c r="O8" s="38" t="str">
        <f>IF(OR(L8="moderate",L8="high"),"통제식별","")</f>
        <v/>
      </c>
      <c r="P8" s="39" t="s">
        <v>78</v>
      </c>
      <c r="Q8" s="38" t="s">
        <v>79</v>
      </c>
      <c r="R8" s="38" t="s">
        <v>80</v>
      </c>
    </row>
    <row r="9" spans="1:18" s="44" customFormat="1" ht="58" x14ac:dyDescent="0.45">
      <c r="A9" s="38">
        <v>6</v>
      </c>
      <c r="B9" s="38" t="s">
        <v>74</v>
      </c>
      <c r="C9" s="38" t="s">
        <v>120</v>
      </c>
      <c r="D9" s="38" t="s">
        <v>101</v>
      </c>
      <c r="E9" s="38" t="s">
        <v>75</v>
      </c>
      <c r="F9" s="38" t="str">
        <f>'[1]RCM 취합'!$Q$76</f>
        <v>전결권자는 담당자가 작성한 연차충당부채 회계전표와 첨부된 산정내역 대해 검토 후 승인한다.</v>
      </c>
      <c r="G9" s="43" t="s">
        <v>54</v>
      </c>
      <c r="H9" s="38" t="s">
        <v>116</v>
      </c>
      <c r="I9" s="38" t="s">
        <v>116</v>
      </c>
      <c r="J9" s="38" t="s">
        <v>76</v>
      </c>
      <c r="K9" s="38" t="s">
        <v>55</v>
      </c>
      <c r="L9" s="38" t="s">
        <v>56</v>
      </c>
      <c r="M9" s="38" t="s">
        <v>77</v>
      </c>
      <c r="N9" s="38" t="s">
        <v>58</v>
      </c>
      <c r="O9" s="38" t="str">
        <f t="shared" ref="O9" si="2">IF(OR(L9="moderate",L9="high"),"통제식별","")</f>
        <v/>
      </c>
      <c r="P9" s="39" t="s">
        <v>78</v>
      </c>
      <c r="Q9" s="38" t="s">
        <v>79</v>
      </c>
      <c r="R9" s="38" t="s">
        <v>80</v>
      </c>
    </row>
    <row r="10" spans="1:18" s="44" customFormat="1" ht="58" x14ac:dyDescent="0.45">
      <c r="A10" s="38">
        <v>7</v>
      </c>
      <c r="B10" s="38" t="s">
        <v>59</v>
      </c>
      <c r="C10" s="38" t="s">
        <v>102</v>
      </c>
      <c r="D10" s="38" t="s">
        <v>81</v>
      </c>
      <c r="E10" s="38" t="s">
        <v>109</v>
      </c>
      <c r="F10" s="38" t="str">
        <f>'[1]RCM 취합'!$Q$99</f>
        <v>전결권자는 리스 관련 조정분개(사용권자산, 리스부채, 이자비용, 유동성대체 등)가 정확하게 계산되었는지 검토하고 리스조정 전표를 승인한다.</v>
      </c>
      <c r="G10" s="43" t="s">
        <v>54</v>
      </c>
      <c r="H10" s="38" t="s">
        <v>117</v>
      </c>
      <c r="I10" s="38" t="s">
        <v>117</v>
      </c>
      <c r="J10" s="38" t="s">
        <v>60</v>
      </c>
      <c r="K10" s="38" t="s">
        <v>55</v>
      </c>
      <c r="L10" s="38" t="s">
        <v>56</v>
      </c>
      <c r="M10" s="38" t="s">
        <v>65</v>
      </c>
      <c r="N10" s="38" t="s">
        <v>58</v>
      </c>
      <c r="O10" s="38" t="str">
        <f t="shared" ref="O10:O11" si="3">IF(OR(L10="moderate",L10="high"),"통제식별","")</f>
        <v/>
      </c>
      <c r="P10" s="39" t="s">
        <v>78</v>
      </c>
      <c r="Q10" s="38" t="s">
        <v>79</v>
      </c>
      <c r="R10" s="38" t="s">
        <v>80</v>
      </c>
    </row>
    <row r="11" spans="1:18" s="44" customFormat="1" ht="72.5" x14ac:dyDescent="0.45">
      <c r="A11" s="38">
        <v>8</v>
      </c>
      <c r="B11" s="38" t="s">
        <v>86</v>
      </c>
      <c r="C11" s="38" t="s">
        <v>103</v>
      </c>
      <c r="D11" s="38" t="s">
        <v>119</v>
      </c>
      <c r="E11" s="38" t="s">
        <v>110</v>
      </c>
      <c r="F11" s="38" t="str">
        <f>'[1]RCM 취합'!$Q$120</f>
        <v>세무조정결과의 계산근거와 업무분장된 분석자료는 권한있는 상위자에 의하여 문서검사, 분석, 승인되어야 한다.</v>
      </c>
      <c r="G11" s="43" t="s">
        <v>54</v>
      </c>
      <c r="H11" s="38" t="s">
        <v>118</v>
      </c>
      <c r="I11" s="38" t="s">
        <v>118</v>
      </c>
      <c r="J11" s="38" t="s">
        <v>61</v>
      </c>
      <c r="K11" s="38" t="s">
        <v>55</v>
      </c>
      <c r="L11" s="38" t="s">
        <v>56</v>
      </c>
      <c r="M11" s="38" t="s">
        <v>70</v>
      </c>
      <c r="N11" s="38" t="s">
        <v>58</v>
      </c>
      <c r="O11" s="38" t="str">
        <f t="shared" si="3"/>
        <v/>
      </c>
      <c r="P11" s="39" t="s">
        <v>78</v>
      </c>
      <c r="Q11" s="38" t="s">
        <v>79</v>
      </c>
      <c r="R11" s="38" t="s">
        <v>80</v>
      </c>
    </row>
  </sheetData>
  <autoFilter ref="B3:S3" xr:uid="{00000000-0009-0000-0000-000000000000}"/>
  <phoneticPr fontId="1" type="noConversion"/>
  <conditionalFormatting sqref="A3:R3 A4:M5 O4:R5">
    <cfRule type="containsText" dxfId="0" priority="1" operator="containsText" text="to-be">
      <formula>NOT(ISERROR(SEARCH("to-be",A3)))</formula>
    </cfRule>
  </conditionalFormatting>
  <dataValidations count="3">
    <dataValidation type="list" allowBlank="1" showErrorMessage="1" sqref="N4:N11" xr:uid="{00000000-0002-0000-0000-000000000000}">
      <formula1>"Multiple Times Daily,Daily,Weekly,Monthly,Quarterly,Annually,As Needed,Other,N/A"</formula1>
    </dataValidation>
    <dataValidation type="list" allowBlank="1" showErrorMessage="1" sqref="K4:K11" xr:uid="{00000000-0002-0000-0000-000001000000}">
      <formula1>"Yes,No"</formula1>
    </dataValidation>
    <dataValidation type="list" allowBlank="1" showErrorMessage="1" sqref="L4:L11" xr:uid="{00000000-0002-0000-0000-000002000000}">
      <formula1>"Low,Moderate,High,N/A"</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0B01-82A1-49E5-97E3-461536765651}">
  <dimension ref="B1:O16"/>
  <sheetViews>
    <sheetView showGridLines="0" zoomScale="85" zoomScaleNormal="85" workbookViewId="0">
      <selection activeCell="F27" sqref="F27"/>
    </sheetView>
  </sheetViews>
  <sheetFormatPr defaultColWidth="9" defaultRowHeight="17" x14ac:dyDescent="0.45"/>
  <cols>
    <col min="1" max="2" width="4.08203125" style="13" customWidth="1"/>
    <col min="3" max="4" width="14.1640625" style="13" customWidth="1"/>
    <col min="5" max="5" width="14.83203125" style="13" customWidth="1"/>
    <col min="6" max="6" width="26.08203125" style="13" customWidth="1"/>
    <col min="7" max="7" width="17" style="13" customWidth="1"/>
    <col min="8" max="8" width="14.6640625" style="13" customWidth="1"/>
    <col min="9" max="9" width="19.1640625" style="14" customWidth="1"/>
    <col min="10" max="10" width="43.58203125" style="14" customWidth="1"/>
    <col min="11" max="11" width="85.83203125" style="13" customWidth="1"/>
    <col min="12" max="12" width="27.83203125" style="13" customWidth="1"/>
    <col min="13" max="14" width="19" style="13" customWidth="1"/>
    <col min="15" max="15" width="4.58203125" customWidth="1"/>
    <col min="16" max="16384" width="9" style="13"/>
  </cols>
  <sheetData>
    <row r="1" spans="2:15" ht="17.5" thickBot="1" x14ac:dyDescent="0.5"/>
    <row r="2" spans="2:15" ht="17.5" thickBot="1" x14ac:dyDescent="0.5">
      <c r="B2" s="15"/>
      <c r="C2" s="16"/>
      <c r="D2" s="16"/>
      <c r="E2" s="16"/>
      <c r="F2" s="16"/>
      <c r="G2" s="16"/>
      <c r="H2" s="16"/>
      <c r="I2" s="16"/>
      <c r="J2" s="16"/>
      <c r="K2" s="16"/>
      <c r="L2" s="16"/>
      <c r="M2" s="16"/>
      <c r="N2" s="16"/>
      <c r="O2" s="17"/>
    </row>
    <row r="3" spans="2:15" ht="26" x14ac:dyDescent="0.45">
      <c r="B3" s="18"/>
      <c r="C3" s="77" t="s">
        <v>27</v>
      </c>
      <c r="D3" s="78"/>
      <c r="E3" s="78"/>
      <c r="F3" s="78"/>
      <c r="G3" s="78"/>
      <c r="H3" s="78"/>
      <c r="I3" s="78"/>
      <c r="J3" s="78"/>
      <c r="K3" s="78"/>
      <c r="L3" s="78"/>
      <c r="M3" s="78"/>
      <c r="N3" s="79"/>
      <c r="O3" s="19"/>
    </row>
    <row r="4" spans="2:15" ht="21.5" thickBot="1" x14ac:dyDescent="0.5">
      <c r="B4" s="18"/>
      <c r="C4" s="80" t="s">
        <v>28</v>
      </c>
      <c r="D4" s="81"/>
      <c r="E4" s="81"/>
      <c r="F4" s="81"/>
      <c r="G4" s="81"/>
      <c r="H4" s="81"/>
      <c r="I4" s="81"/>
      <c r="J4" s="81"/>
      <c r="K4" s="81"/>
      <c r="L4" s="81"/>
      <c r="M4" s="81"/>
      <c r="N4" s="82"/>
      <c r="O4" s="19"/>
    </row>
    <row r="5" spans="2:15" x14ac:dyDescent="0.45">
      <c r="B5" s="18"/>
      <c r="C5" s="83" t="str">
        <f>'EUC Inventory'!B3</f>
        <v>프로세스이름</v>
      </c>
      <c r="D5" s="85" t="str">
        <f>'EUC Inventory'!C3</f>
        <v>하위프로세스</v>
      </c>
      <c r="E5" s="85" t="str">
        <f>'EUC Inventory'!D3</f>
        <v>통제활동번호</v>
      </c>
      <c r="F5" s="85" t="s">
        <v>29</v>
      </c>
      <c r="G5" s="85" t="s">
        <v>30</v>
      </c>
      <c r="H5" s="85" t="s">
        <v>31</v>
      </c>
      <c r="I5" s="87" t="s">
        <v>32</v>
      </c>
      <c r="J5" s="88"/>
      <c r="K5" s="88"/>
      <c r="L5" s="89" t="s">
        <v>33</v>
      </c>
      <c r="M5" s="88" t="s">
        <v>34</v>
      </c>
      <c r="N5" s="91"/>
      <c r="O5" s="19"/>
    </row>
    <row r="6" spans="2:15" ht="17.5" thickBot="1" x14ac:dyDescent="0.5">
      <c r="B6" s="18"/>
      <c r="C6" s="84"/>
      <c r="D6" s="86"/>
      <c r="E6" s="86"/>
      <c r="F6" s="86"/>
      <c r="G6" s="86"/>
      <c r="H6" s="86"/>
      <c r="I6" s="20" t="s">
        <v>32</v>
      </c>
      <c r="J6" s="34" t="s">
        <v>0</v>
      </c>
      <c r="K6" s="21" t="s">
        <v>35</v>
      </c>
      <c r="L6" s="90"/>
      <c r="M6" s="22" t="s">
        <v>36</v>
      </c>
      <c r="N6" s="23" t="s">
        <v>37</v>
      </c>
      <c r="O6" s="19"/>
    </row>
    <row r="7" spans="2:15" ht="71.25" customHeight="1" x14ac:dyDescent="0.45">
      <c r="B7" s="18"/>
      <c r="C7" s="71" t="e">
        <f>'EUC Inventory'!#REF!</f>
        <v>#REF!</v>
      </c>
      <c r="D7" s="74" t="e">
        <f>'EUC Inventory'!#REF!</f>
        <v>#REF!</v>
      </c>
      <c r="E7" s="74" t="e">
        <f>'EUC Inventory'!#REF!</f>
        <v>#REF!</v>
      </c>
      <c r="F7" s="74" t="e">
        <f>'EUC Inventory'!#REF!</f>
        <v>#REF!</v>
      </c>
      <c r="G7" s="68" t="s">
        <v>38</v>
      </c>
      <c r="H7" s="68" t="e">
        <f>'EUC Inventory'!#REF!</f>
        <v>#REF!</v>
      </c>
      <c r="I7" s="24" t="s">
        <v>39</v>
      </c>
      <c r="J7" s="35" t="s">
        <v>51</v>
      </c>
      <c r="K7" s="35" t="s">
        <v>62</v>
      </c>
      <c r="L7" s="36" t="s">
        <v>40</v>
      </c>
      <c r="M7" s="25"/>
      <c r="N7" s="26"/>
      <c r="O7" s="19"/>
    </row>
    <row r="8" spans="2:15" ht="64" x14ac:dyDescent="0.45">
      <c r="B8" s="18"/>
      <c r="C8" s="72"/>
      <c r="D8" s="75"/>
      <c r="E8" s="75"/>
      <c r="F8" s="75"/>
      <c r="G8" s="69"/>
      <c r="H8" s="69"/>
      <c r="I8" s="27" t="s">
        <v>41</v>
      </c>
      <c r="J8" s="37" t="s">
        <v>52</v>
      </c>
      <c r="K8" s="37" t="s">
        <v>42</v>
      </c>
      <c r="L8" s="36" t="s">
        <v>43</v>
      </c>
      <c r="M8" s="25"/>
      <c r="N8" s="26"/>
      <c r="O8" s="19"/>
    </row>
    <row r="9" spans="2:15" ht="64" x14ac:dyDescent="0.45">
      <c r="B9" s="18"/>
      <c r="C9" s="72"/>
      <c r="D9" s="75"/>
      <c r="E9" s="75"/>
      <c r="F9" s="75"/>
      <c r="G9" s="69"/>
      <c r="H9" s="69"/>
      <c r="I9" s="27" t="s">
        <v>44</v>
      </c>
      <c r="J9" s="37" t="s">
        <v>50</v>
      </c>
      <c r="K9" s="37" t="s">
        <v>45</v>
      </c>
      <c r="L9" s="36" t="s">
        <v>46</v>
      </c>
      <c r="M9" s="25"/>
      <c r="N9" s="26"/>
      <c r="O9" s="19"/>
    </row>
    <row r="10" spans="2:15" ht="68.25" customHeight="1" thickBot="1" x14ac:dyDescent="0.5">
      <c r="B10" s="18"/>
      <c r="C10" s="73"/>
      <c r="D10" s="76"/>
      <c r="E10" s="76"/>
      <c r="F10" s="76"/>
      <c r="G10" s="70"/>
      <c r="H10" s="70"/>
      <c r="I10" s="40" t="s">
        <v>47</v>
      </c>
      <c r="J10" s="41" t="s">
        <v>53</v>
      </c>
      <c r="K10" s="41" t="s">
        <v>48</v>
      </c>
      <c r="L10" s="42" t="s">
        <v>49</v>
      </c>
      <c r="M10" s="28"/>
      <c r="N10" s="29"/>
      <c r="O10" s="19"/>
    </row>
    <row r="11" spans="2:15" ht="17.5" thickBot="1" x14ac:dyDescent="0.5">
      <c r="B11" s="30"/>
      <c r="C11" s="31"/>
      <c r="D11" s="31"/>
      <c r="E11" s="31"/>
      <c r="F11" s="31"/>
      <c r="G11" s="31"/>
      <c r="H11" s="31"/>
      <c r="I11" s="32"/>
      <c r="J11" s="32"/>
      <c r="K11" s="31"/>
      <c r="L11" s="31"/>
      <c r="M11" s="31"/>
      <c r="N11" s="31"/>
      <c r="O11" s="33"/>
    </row>
    <row r="12" spans="2:15" x14ac:dyDescent="0.45">
      <c r="O12" s="13"/>
    </row>
    <row r="13" spans="2:15" x14ac:dyDescent="0.45">
      <c r="O13" s="13"/>
    </row>
    <row r="14" spans="2:15" x14ac:dyDescent="0.45">
      <c r="O14" s="13"/>
    </row>
    <row r="15" spans="2:15" x14ac:dyDescent="0.45">
      <c r="O15" s="13"/>
    </row>
    <row r="16" spans="2:15" x14ac:dyDescent="0.45">
      <c r="O16" s="13"/>
    </row>
  </sheetData>
  <protectedRanges>
    <protectedRange sqref="K9 K7" name="Range1_1"/>
    <protectedRange sqref="M7:N10 K8 K10 I7:J10" name="Range1_1_1"/>
  </protectedRanges>
  <mergeCells count="17">
    <mergeCell ref="C3:N3"/>
    <mergeCell ref="C4:N4"/>
    <mergeCell ref="C5:C6"/>
    <mergeCell ref="D5:D6"/>
    <mergeCell ref="E5:E6"/>
    <mergeCell ref="F5:F6"/>
    <mergeCell ref="G5:G6"/>
    <mergeCell ref="H5:H6"/>
    <mergeCell ref="I5:K5"/>
    <mergeCell ref="L5:L6"/>
    <mergeCell ref="M5:N5"/>
    <mergeCell ref="H7:H10"/>
    <mergeCell ref="C7:C10"/>
    <mergeCell ref="D7:D10"/>
    <mergeCell ref="E7:E10"/>
    <mergeCell ref="F7:F10"/>
    <mergeCell ref="G7:G10"/>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C835830521AE45488CCB460BD2460D28" ma:contentTypeVersion="" ma:contentTypeDescription="새 문서를 만듭니다." ma:contentTypeScope="" ma:versionID="09c7bd657fc0f341a64c213f2ef5f68f">
  <xsd:schema xmlns:xsd="http://www.w3.org/2001/XMLSchema" xmlns:xs="http://www.w3.org/2001/XMLSchema" xmlns:p="http://schemas.microsoft.com/office/2006/metadata/properties" targetNamespace="http://schemas.microsoft.com/office/2006/metadata/properties" ma:root="true" ma:fieldsID="98b31a2709c1a0b721ac739d4d9a47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52F99E-8B17-42D7-B4F9-B4BB344342BC}">
  <ds:schemaRefs>
    <ds:schemaRef ds:uri="http://schemas.microsoft.com/sharepoint/v3/contenttype/forms"/>
  </ds:schemaRefs>
</ds:datastoreItem>
</file>

<file path=customXml/itemProps2.xml><?xml version="1.0" encoding="utf-8"?>
<ds:datastoreItem xmlns:ds="http://schemas.openxmlformats.org/officeDocument/2006/customXml" ds:itemID="{0D659FC1-F1F3-495E-9D02-09BFD2EE4BE0}">
  <ds:schemaRefs>
    <ds:schemaRef ds:uri="http://purl.org/dc/elements/1.1/"/>
    <ds:schemaRef ds:uri="http://schemas.microsoft.com/office/2006/metadata/properties"/>
    <ds:schemaRef ds:uri="http://schemas.microsoft.com/office/2006/documentManagement/types"/>
    <ds:schemaRef ds:uri="http://purl.org/dc/terms/"/>
    <ds:schemaRef ds:uri="http://purl.org/dc/dcmitype/"/>
    <ds:schemaRef ds:uri="http://www.w3.org/XML/1998/namespace"/>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38E28D86-97A0-45BF-B7B0-566D6A2BB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EUC Guide</vt:lpstr>
      <vt:lpstr>EUC Inventory</vt:lpstr>
      <vt:lpstr>식별된 EUC Control Test(예시)</vt:lpstr>
    </vt:vector>
  </TitlesOfParts>
  <Manager/>
  <Company>PricewaterhouseCoopers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우리회계법인</cp:lastModifiedBy>
  <cp:revision/>
  <cp:lastPrinted>2023-09-03T01:54:19Z</cp:lastPrinted>
  <dcterms:created xsi:type="dcterms:W3CDTF">2018-09-13T00:23:51Z</dcterms:created>
  <dcterms:modified xsi:type="dcterms:W3CDTF">2023-12-13T00:50:40Z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0x010100C835830521AE45488CCB460BD2460D28</vt:lpwstr>
  </property>
  <property fmtid="{D5CDD505-2E9C-101B-9397-08002B2CF9AE}" pid="3" name="MSIP_Label_d5ad9e2c-3409-4f5e-b568-27efa8516457_Enabled">
    <vt:lpwstr>true</vt:lpwstr>
  </property>
  <property fmtid="{D5CDD505-2E9C-101B-9397-08002B2CF9AE}" pid="4" name="MSIP_Label_d5ad9e2c-3409-4f5e-b568-27efa8516457_SetDate">
    <vt:lpwstr>2021-03-23T07:30:26Z</vt:lpwstr>
  </property>
  <property fmtid="{D5CDD505-2E9C-101B-9397-08002B2CF9AE}" pid="5" name="MSIP_Label_d5ad9e2c-3409-4f5e-b568-27efa8516457_Method">
    <vt:lpwstr>Privileged</vt:lpwstr>
  </property>
  <property fmtid="{D5CDD505-2E9C-101B-9397-08002B2CF9AE}" pid="6" name="MSIP_Label_d5ad9e2c-3409-4f5e-b568-27efa8516457_Name">
    <vt:lpwstr>WEBZEN(보호 제거)</vt:lpwstr>
  </property>
  <property fmtid="{D5CDD505-2E9C-101B-9397-08002B2CF9AE}" pid="7" name="MSIP_Label_d5ad9e2c-3409-4f5e-b568-27efa8516457_SiteId">
    <vt:lpwstr>772018ac-e6eb-4f0d-8e6c-45e7ebda084a</vt:lpwstr>
  </property>
  <property fmtid="{D5CDD505-2E9C-101B-9397-08002B2CF9AE}" pid="8" name="MSIP_Label_d5ad9e2c-3409-4f5e-b568-27efa8516457_ActionId">
    <vt:lpwstr>4c718ddb-de44-4884-90d3-ebbd677e840d</vt:lpwstr>
  </property>
  <property fmtid="{D5CDD505-2E9C-101B-9397-08002B2CF9AE}" pid="9" name="MSIP_Label_d5ad9e2c-3409-4f5e-b568-27efa8516457_ContentBits">
    <vt:lpwstr>0</vt:lpwstr>
  </property>
</Properties>
</file>